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z037\Desktop\台壽計量\績效分析\"/>
    </mc:Choice>
  </mc:AlternateContent>
  <xr:revisionPtr revIDLastSave="0" documentId="13_ncr:1_{52F1D462-BCD5-45EF-A347-B4C6E86188B1}" xr6:coauthVersionLast="47" xr6:coauthVersionMax="47" xr10:uidLastSave="{00000000-0000-0000-0000-000000000000}"/>
  <bookViews>
    <workbookView xWindow="-120" yWindow="-120" windowWidth="29040" windowHeight="15720" activeTab="5" xr2:uid="{1B1BF8F6-6E29-4A16-BCD7-04427DE33D8F}"/>
  </bookViews>
  <sheets>
    <sheet name="持股分析(20260521)" sheetId="1" r:id="rId1"/>
    <sheet name="持股庫存(20251231)" sheetId="3" r:id="rId2"/>
    <sheet name="交易分析" sheetId="2" r:id="rId3"/>
    <sheet name="S&amp;P500(20260521)" sheetId="5" r:id="rId4"/>
    <sheet name="BQL" sheetId="6" r:id="rId5"/>
    <sheet name="Note" sheetId="7" r:id="rId6"/>
  </sheets>
  <definedNames>
    <definedName name="_xlnm._FilterDatabase" localSheetId="0" hidden="1">'持股分析(20260521)'!$A$3:$J$3</definedName>
    <definedName name="_xlnm._FilterDatabase" localSheetId="1" hidden="1">'持股庫存(20251231)'!$A$3:$I$3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1" l="1"/>
  <c r="J2" i="1" s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5" i="1"/>
  <c r="H2" i="3"/>
  <c r="D2" i="3"/>
  <c r="C2" i="3"/>
  <c r="L2" i="1"/>
  <c r="D2" i="1"/>
  <c r="C2" i="1"/>
  <c r="J16" i="1"/>
  <c r="J6" i="1"/>
  <c r="J7" i="1"/>
  <c r="J10" i="1"/>
  <c r="J20" i="1"/>
  <c r="J14" i="1"/>
  <c r="J11" i="1"/>
  <c r="J15" i="1"/>
  <c r="J21" i="1"/>
  <c r="J9" i="1"/>
  <c r="J24" i="1"/>
  <c r="J17" i="1"/>
  <c r="J26" i="1"/>
  <c r="J41" i="1"/>
  <c r="J48" i="1"/>
  <c r="J19" i="1"/>
  <c r="J54" i="1"/>
  <c r="J22" i="1"/>
  <c r="J13" i="1"/>
  <c r="J25" i="1"/>
  <c r="J30" i="1"/>
  <c r="J29" i="1"/>
  <c r="J34" i="1"/>
  <c r="J53" i="1"/>
  <c r="J56" i="1"/>
  <c r="J51" i="1"/>
  <c r="J27" i="1"/>
  <c r="J8" i="1"/>
  <c r="J50" i="1"/>
  <c r="J52" i="1"/>
  <c r="J32" i="1"/>
  <c r="J35" i="1"/>
  <c r="J57" i="1"/>
  <c r="J28" i="1"/>
  <c r="J12" i="1"/>
  <c r="J44" i="1"/>
  <c r="J42" i="1"/>
  <c r="J46" i="1"/>
  <c r="J38" i="1"/>
  <c r="J31" i="1"/>
  <c r="J39" i="1"/>
  <c r="J45" i="1"/>
  <c r="J23" i="1"/>
  <c r="J18" i="1"/>
  <c r="J40" i="1"/>
  <c r="J33" i="1"/>
  <c r="J55" i="1"/>
  <c r="J43" i="1"/>
  <c r="J47" i="1"/>
  <c r="J36" i="1"/>
  <c r="J49" i="1"/>
  <c r="J37" i="1"/>
  <c r="J5" i="1"/>
  <c r="K6" i="1" l="1"/>
  <c r="M6" i="1" s="1"/>
  <c r="K10" i="1"/>
  <c r="M10" i="1" s="1"/>
  <c r="K9" i="1"/>
  <c r="M9" i="1" s="1"/>
  <c r="K12" i="1"/>
  <c r="M12" i="1" s="1"/>
  <c r="K13" i="1"/>
  <c r="M13" i="1" s="1"/>
  <c r="K18" i="1"/>
  <c r="M18" i="1" s="1"/>
  <c r="K17" i="1"/>
  <c r="M17" i="1" s="1"/>
  <c r="K35" i="1"/>
  <c r="K29" i="1"/>
  <c r="M29" i="1" s="1"/>
  <c r="K21" i="1"/>
  <c r="M21" i="1" s="1"/>
  <c r="K37" i="1"/>
  <c r="K39" i="1"/>
  <c r="K32" i="1"/>
  <c r="M32" i="1" s="1"/>
  <c r="K41" i="1"/>
  <c r="K43" i="1"/>
  <c r="K45" i="1"/>
  <c r="K33" i="1"/>
  <c r="M33" i="1" s="1"/>
  <c r="K47" i="1"/>
  <c r="K49" i="1"/>
  <c r="K51" i="1"/>
  <c r="K53" i="1"/>
  <c r="K56" i="1"/>
  <c r="K25" i="1"/>
  <c r="M25" i="1" s="1"/>
  <c r="K5" i="1"/>
  <c r="M5" i="1" s="1"/>
  <c r="K8" i="1"/>
  <c r="M8" i="1" s="1"/>
  <c r="K11" i="1"/>
  <c r="M11" i="1" s="1"/>
  <c r="K40" i="1"/>
  <c r="K48" i="1"/>
  <c r="K52" i="1"/>
  <c r="K7" i="1"/>
  <c r="M7" i="1" s="1"/>
  <c r="K14" i="1"/>
  <c r="M14" i="1" s="1"/>
  <c r="K16" i="1"/>
  <c r="M16" i="1" s="1"/>
  <c r="K15" i="1"/>
  <c r="M15" i="1" s="1"/>
  <c r="K23" i="1"/>
  <c r="M23" i="1" s="1"/>
  <c r="K19" i="1"/>
  <c r="M19" i="1" s="1"/>
  <c r="K34" i="1"/>
  <c r="K27" i="1"/>
  <c r="M27" i="1" s="1"/>
  <c r="K20" i="1"/>
  <c r="M20" i="1" s="1"/>
  <c r="K36" i="1"/>
  <c r="K30" i="1"/>
  <c r="M30" i="1" s="1"/>
  <c r="K38" i="1"/>
  <c r="K31" i="1"/>
  <c r="M31" i="1" s="1"/>
  <c r="K42" i="1"/>
  <c r="K44" i="1"/>
  <c r="K22" i="1"/>
  <c r="M22" i="1" s="1"/>
  <c r="K46" i="1"/>
  <c r="K24" i="1"/>
  <c r="M24" i="1" s="1"/>
  <c r="K26" i="1"/>
  <c r="M26" i="1" s="1"/>
  <c r="K50" i="1"/>
  <c r="K54" i="1"/>
  <c r="K55" i="1"/>
  <c r="K57" i="1"/>
  <c r="K28" i="1"/>
  <c r="M28" i="1" s="1"/>
  <c r="M2" i="1" l="1" a="1"/>
  <c r="M2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<sst xmlns="http://schemas.openxmlformats.org/spreadsheetml/2006/main" count="3257" uniqueCount="1326">
  <si>
    <t>BBG_TICKER</t>
  </si>
  <si>
    <t>英文名稱</t>
  </si>
  <si>
    <t>RSET_COST_ON_HAND</t>
  </si>
  <si>
    <t>RSET_URCG_PX</t>
  </si>
  <si>
    <t>RSET_RL_COST_DIFF</t>
  </si>
  <si>
    <t>DVD_AMT</t>
  </si>
  <si>
    <t>RSET_TTL</t>
  </si>
  <si>
    <t>GOOGL US</t>
  </si>
  <si>
    <t>Alphabet Inc</t>
  </si>
  <si>
    <t>AMZN US</t>
  </si>
  <si>
    <t>Amazon.com Inc</t>
  </si>
  <si>
    <t>AME US</t>
  </si>
  <si>
    <t>AMETEK Inc</t>
  </si>
  <si>
    <t>AAPL US</t>
  </si>
  <si>
    <t>Apple Inc</t>
  </si>
  <si>
    <t>AVGO US</t>
  </si>
  <si>
    <t>Broadcom Inc</t>
  </si>
  <si>
    <t>CIEN US</t>
  </si>
  <si>
    <t>Ciena Corp</t>
  </si>
  <si>
    <t>GLW US</t>
  </si>
  <si>
    <t>Corning Inc</t>
  </si>
  <si>
    <t>EME US</t>
  </si>
  <si>
    <t>EMCOR Group Inc</t>
  </si>
  <si>
    <t>KEYS US</t>
  </si>
  <si>
    <t>Keysight Technologies Inc</t>
  </si>
  <si>
    <t>LULU US</t>
  </si>
  <si>
    <t>Lululemon Athletica Inc</t>
  </si>
  <si>
    <t>LITE US</t>
  </si>
  <si>
    <t>Lumentum Holdings Inc</t>
  </si>
  <si>
    <t>MRVL US</t>
  </si>
  <si>
    <t>Marvell Technology Inc</t>
  </si>
  <si>
    <t>META US</t>
  </si>
  <si>
    <t>Meta Platforms Inc</t>
  </si>
  <si>
    <t>MU US</t>
  </si>
  <si>
    <t>Micron Technology Inc</t>
  </si>
  <si>
    <t>MSFT US</t>
  </si>
  <si>
    <t>Microsoft Corp</t>
  </si>
  <si>
    <t>NVDA US</t>
  </si>
  <si>
    <t>NVIDIA Corp</t>
  </si>
  <si>
    <t>PWR US</t>
  </si>
  <si>
    <t>Quanta Services Inc</t>
  </si>
  <si>
    <t>SNDK US</t>
  </si>
  <si>
    <t>SanDisk LLC</t>
  </si>
  <si>
    <t>SHW US</t>
  </si>
  <si>
    <t>Sherwin-Williams Co/The</t>
  </si>
  <si>
    <t>TER US</t>
  </si>
  <si>
    <t>Teradyne Inc</t>
  </si>
  <si>
    <t>V US</t>
  </si>
  <si>
    <t>Visa Inc</t>
  </si>
  <si>
    <t>WDC US</t>
  </si>
  <si>
    <t>Western Digital Corp</t>
  </si>
  <si>
    <t>代碼</t>
    <phoneticPr fontId="2" type="noConversion"/>
  </si>
  <si>
    <t>公司名稱</t>
    <phoneticPr fontId="2" type="noConversion"/>
  </si>
  <si>
    <t>NVT US</t>
  </si>
  <si>
    <t>nVent Electric PLC</t>
  </si>
  <si>
    <t>ECG US</t>
  </si>
  <si>
    <t>Everus Construction Group Inc</t>
  </si>
  <si>
    <t>MTZ US</t>
  </si>
  <si>
    <t>MasTec Inc</t>
  </si>
  <si>
    <t>APO US</t>
  </si>
  <si>
    <t>Apollo Global Management Inc</t>
  </si>
  <si>
    <t>BMY US</t>
  </si>
  <si>
    <t>Bristol-Myers Squibb Co</t>
  </si>
  <si>
    <t>COHR US</t>
  </si>
  <si>
    <t>Coherent Corp</t>
  </si>
  <si>
    <t>CG US</t>
  </si>
  <si>
    <t>Carlyle Group Inc/The</t>
  </si>
  <si>
    <t>SCHW US</t>
  </si>
  <si>
    <t>Charles Schwab Corp/The</t>
  </si>
  <si>
    <t>APH US</t>
  </si>
  <si>
    <t>Amphenol Corp</t>
  </si>
  <si>
    <t>AMP US</t>
  </si>
  <si>
    <t>Ameriprise Financial Inc</t>
  </si>
  <si>
    <t>ANET US</t>
  </si>
  <si>
    <t>Arista Networks Inc</t>
  </si>
  <si>
    <t>ASML US</t>
  </si>
  <si>
    <t>ASML Holding NV</t>
  </si>
  <si>
    <t>ALAB US</t>
  </si>
  <si>
    <t>Astera Labs Inc</t>
  </si>
  <si>
    <t>ADSK US</t>
  </si>
  <si>
    <t>Autodesk Inc</t>
  </si>
  <si>
    <t>BX US</t>
  </si>
  <si>
    <t>Blackstone Inc</t>
  </si>
  <si>
    <t>MA US</t>
  </si>
  <si>
    <t>Mastercard Inc</t>
  </si>
  <si>
    <t>MCO US</t>
  </si>
  <si>
    <t>Moody's Corp</t>
  </si>
  <si>
    <t>NEM US</t>
  </si>
  <si>
    <t>Newmont Corp</t>
  </si>
  <si>
    <t>GEV US</t>
  </si>
  <si>
    <t>GE Vernova Inc</t>
  </si>
  <si>
    <t>HWM US</t>
  </si>
  <si>
    <t>Howmet Aerospace Inc</t>
  </si>
  <si>
    <t>LRCX US</t>
  </si>
  <si>
    <t>Lam Research Corp</t>
  </si>
  <si>
    <t>COST US</t>
  </si>
  <si>
    <t>Costco Wholesale Corp</t>
  </si>
  <si>
    <t>CRDO US</t>
  </si>
  <si>
    <t>Credo Technology Group Holding</t>
  </si>
  <si>
    <t>TPG US</t>
  </si>
  <si>
    <t>TPG Inc</t>
  </si>
  <si>
    <t>VRT US</t>
  </si>
  <si>
    <t>Vertiv Holdings Co</t>
  </si>
  <si>
    <t>SOLV US</t>
  </si>
  <si>
    <t>Solventum Corp</t>
  </si>
  <si>
    <t>STX US</t>
  </si>
  <si>
    <t>Seagate Technology Holdings PL</t>
  </si>
  <si>
    <t>RMD US</t>
  </si>
  <si>
    <t>ResMed Inc</t>
  </si>
  <si>
    <t>ORCL US</t>
  </si>
  <si>
    <t>Oracle Corp</t>
  </si>
  <si>
    <t>PLTR US</t>
  </si>
  <si>
    <t>Palantir Technologies Inc</t>
  </si>
  <si>
    <t>PANW US</t>
  </si>
  <si>
    <t>Palo Alto Networks Inc</t>
  </si>
  <si>
    <t>MV</t>
    <phoneticPr fontId="2" type="noConversion"/>
  </si>
  <si>
    <t>市值</t>
    <phoneticPr fontId="2" type="noConversion"/>
  </si>
  <si>
    <t>額度(M/USD)</t>
    <phoneticPr fontId="2" type="noConversion"/>
  </si>
  <si>
    <t>損益貢獻%</t>
    <phoneticPr fontId="2" type="noConversion"/>
  </si>
  <si>
    <t>URCG(YTD)</t>
    <phoneticPr fontId="2" type="noConversion"/>
  </si>
  <si>
    <t>庫存成本(YTD)</t>
    <phoneticPr fontId="2" type="noConversion"/>
  </si>
  <si>
    <t>RCG(YTD)</t>
    <phoneticPr fontId="2" type="noConversion"/>
  </si>
  <si>
    <t>DVD(YTD)</t>
    <phoneticPr fontId="2" type="noConversion"/>
  </si>
  <si>
    <t>P&amp;L(YTD)</t>
    <phoneticPr fontId="2" type="noConversion"/>
  </si>
  <si>
    <t>權重</t>
    <phoneticPr fontId="2" type="noConversion"/>
  </si>
  <si>
    <t>總庫存成本</t>
    <phoneticPr fontId="2" type="noConversion"/>
  </si>
  <si>
    <t>總市值</t>
    <phoneticPr fontId="2" type="noConversion"/>
  </si>
  <si>
    <t>總損益</t>
    <phoneticPr fontId="2" type="noConversion"/>
  </si>
  <si>
    <t>總報酬率</t>
    <phoneticPr fontId="2" type="noConversion"/>
  </si>
  <si>
    <t>交易日期</t>
  </si>
  <si>
    <t>經理人部位(名稱)</t>
  </si>
  <si>
    <t>交易型態</t>
  </si>
  <si>
    <t>幣別</t>
  </si>
  <si>
    <t>股票代碼(代碼)</t>
  </si>
  <si>
    <t>股票英文名稱</t>
  </si>
  <si>
    <t>股數</t>
  </si>
  <si>
    <t>單價(原幣)</t>
  </si>
  <si>
    <t>交易淨額(原幣)</t>
  </si>
  <si>
    <t>平均成本(原幣)</t>
  </si>
  <si>
    <t>交易成本(原幣)</t>
  </si>
  <si>
    <t>價差損益(原幣)</t>
  </si>
  <si>
    <t>2026-01-02</t>
  </si>
  <si>
    <t>(外)qt001</t>
  </si>
  <si>
    <t>買</t>
  </si>
  <si>
    <t>USD</t>
  </si>
  <si>
    <t>2026-01-05</t>
  </si>
  <si>
    <t>(外)qt003</t>
  </si>
  <si>
    <t>賣</t>
  </si>
  <si>
    <t>2026-01-06</t>
  </si>
  <si>
    <t>(外)qt004</t>
  </si>
  <si>
    <t>(外)qt007</t>
  </si>
  <si>
    <t>(外)qt012</t>
  </si>
  <si>
    <t>(外)qt013</t>
  </si>
  <si>
    <t>2026-01-07</t>
  </si>
  <si>
    <t>(外)qt005</t>
  </si>
  <si>
    <t>(外)qt014</t>
  </si>
  <si>
    <t>2026-01-08</t>
  </si>
  <si>
    <t>2026-01-22</t>
  </si>
  <si>
    <t>2026-01-28</t>
  </si>
  <si>
    <t>(外)qt002</t>
  </si>
  <si>
    <t>2026-01-29</t>
  </si>
  <si>
    <t>(外)qt006</t>
  </si>
  <si>
    <t>2026-02-10</t>
  </si>
  <si>
    <t>2026-02-23</t>
  </si>
  <si>
    <t>2026-02-24</t>
  </si>
  <si>
    <t>2026-02-25</t>
  </si>
  <si>
    <t>2026-03-02</t>
  </si>
  <si>
    <t>2026-03-03</t>
  </si>
  <si>
    <t>2026-03-13</t>
  </si>
  <si>
    <t>2026-03-19</t>
  </si>
  <si>
    <t>2026-03-23</t>
  </si>
  <si>
    <t>2026-03-25</t>
  </si>
  <si>
    <t>2026-03-27</t>
  </si>
  <si>
    <t>2026-04-01</t>
  </si>
  <si>
    <t>2026-04-07</t>
  </si>
  <si>
    <t>2026-04-15</t>
  </si>
  <si>
    <t>2026-04-23</t>
  </si>
  <si>
    <t>(外)qt016</t>
  </si>
  <si>
    <t>2026-05-06</t>
  </si>
  <si>
    <t>2026-05-07</t>
  </si>
  <si>
    <t>2026-05-11</t>
  </si>
  <si>
    <t>指數權重</t>
  </si>
  <si>
    <t>權重差異</t>
    <phoneticPr fontId="2" type="noConversion"/>
  </si>
  <si>
    <t>GE US</t>
  </si>
  <si>
    <t>General Electric Co</t>
  </si>
  <si>
    <t>HLNE US</t>
  </si>
  <si>
    <t>Hamilton Lane Inc</t>
  </si>
  <si>
    <t>XLV US</t>
  </si>
  <si>
    <t>Health Care Select Sector SPDR</t>
  </si>
  <si>
    <t>TLT US</t>
  </si>
  <si>
    <t>iShares 20+ Year Treasury Bond</t>
  </si>
  <si>
    <t>IBB US</t>
  </si>
  <si>
    <t>iShares Biotechnology ETF</t>
  </si>
  <si>
    <t>IWM US</t>
  </si>
  <si>
    <t>iShares Russell 2000 ETF</t>
  </si>
  <si>
    <t>SOXX US</t>
  </si>
  <si>
    <t>iShares Semiconductor ETF</t>
  </si>
  <si>
    <t>ITB US</t>
  </si>
  <si>
    <t>iShares U.S. Home Construction</t>
  </si>
  <si>
    <t>MPWR US</t>
  </si>
  <si>
    <t>Monolithic Power Systems Inc</t>
  </si>
  <si>
    <t>NFLX US</t>
  </si>
  <si>
    <t>Netflix Inc</t>
  </si>
  <si>
    <t>UAL US</t>
  </si>
  <si>
    <t>United Airlines Holdings Inc</t>
  </si>
  <si>
    <t>XLU US</t>
  </si>
  <si>
    <t>Utilities Select Sector SPDR F</t>
  </si>
  <si>
    <t>VGT US</t>
  </si>
  <si>
    <t>Vanguard Information Technolog</t>
  </si>
  <si>
    <t>TJX US</t>
  </si>
  <si>
    <t>TJX Cos Inc/The</t>
  </si>
  <si>
    <t>TMUS US</t>
  </si>
  <si>
    <t>T-Mobile US Inc</t>
  </si>
  <si>
    <t>ROL US</t>
  </si>
  <si>
    <t>Rollins Inc</t>
  </si>
  <si>
    <t>RTX US</t>
  </si>
  <si>
    <t>RTX Corp</t>
  </si>
  <si>
    <t>CWB US</t>
  </si>
  <si>
    <t>SPDR Bloomberg Convertible Sec</t>
  </si>
  <si>
    <t>XME US</t>
  </si>
  <si>
    <t>SPDR S&amp;P Metals &amp; Mining ETF</t>
  </si>
  <si>
    <t>STEP US</t>
  </si>
  <si>
    <t>StepStone Group Inc</t>
  </si>
  <si>
    <t>VST US</t>
  </si>
  <si>
    <t>Vistra Corp</t>
  </si>
  <si>
    <t>ASHR US</t>
  </si>
  <si>
    <t>Xtrackers Harvest CSI 300 Chin</t>
  </si>
  <si>
    <t>MRK US Equity</t>
  </si>
  <si>
    <t>AMP US Equity</t>
  </si>
  <si>
    <t>UAL US Equity</t>
  </si>
  <si>
    <t>APP US Equity</t>
  </si>
  <si>
    <t>EFX US Equity</t>
  </si>
  <si>
    <t>AEE US Equity</t>
  </si>
  <si>
    <t>PANW US Equity</t>
  </si>
  <si>
    <t>TDY US Equity</t>
  </si>
  <si>
    <t>PFE US Equity</t>
  </si>
  <si>
    <t>FOXA US Equity</t>
  </si>
  <si>
    <t>AWK US Equity</t>
  </si>
  <si>
    <t>CVNA US Equity</t>
  </si>
  <si>
    <t>FTV US Equity</t>
  </si>
  <si>
    <t>MAA US Equity</t>
  </si>
  <si>
    <t>AXP US Equity</t>
  </si>
  <si>
    <t>CHRW US Equity</t>
  </si>
  <si>
    <t>CBOE US Equity</t>
  </si>
  <si>
    <t>FTNT US Equity</t>
  </si>
  <si>
    <t>CF US Equity</t>
  </si>
  <si>
    <t>BRK/B US Equity</t>
  </si>
  <si>
    <t>ROST US Equity</t>
  </si>
  <si>
    <t>SYK US Equity</t>
  </si>
  <si>
    <t>SPGI US Equity</t>
  </si>
  <si>
    <t>ABBV US Equity</t>
  </si>
  <si>
    <t>CDW US Equity</t>
  </si>
  <si>
    <t>USB US Equity</t>
  </si>
  <si>
    <t>HII US Equity</t>
  </si>
  <si>
    <t>WY US Equity</t>
  </si>
  <si>
    <t>BA US Equity</t>
  </si>
  <si>
    <t>PODD US Equity</t>
  </si>
  <si>
    <t>REGN US Equity</t>
  </si>
  <si>
    <t>RCL US Equity</t>
  </si>
  <si>
    <t>GPN US Equity</t>
  </si>
  <si>
    <t>AMCR US Equity</t>
  </si>
  <si>
    <t>GOOGL US Equity</t>
  </si>
  <si>
    <t>VRTX US Equity</t>
  </si>
  <si>
    <t>KKR US Equity</t>
  </si>
  <si>
    <t>EQT US Equity</t>
  </si>
  <si>
    <t>USD Curncy</t>
  </si>
  <si>
    <t>MA US Equity</t>
  </si>
  <si>
    <t>IDXX US Equity</t>
  </si>
  <si>
    <t>ZTS US Equity</t>
  </si>
  <si>
    <t>J US Equity</t>
  </si>
  <si>
    <t>COO US Equity</t>
  </si>
  <si>
    <t>APA US Equity</t>
  </si>
  <si>
    <t>PAYX US Equity</t>
  </si>
  <si>
    <t>KEYS US Equity</t>
  </si>
  <si>
    <t>UBER US Equity</t>
  </si>
  <si>
    <t>TTD US Equity</t>
  </si>
  <si>
    <t>AXON US Equity</t>
  </si>
  <si>
    <t>GNRC US Equity</t>
  </si>
  <si>
    <t>FISV US Equity</t>
  </si>
  <si>
    <t>ADP US Equity</t>
  </si>
  <si>
    <t>ON US Equity</t>
  </si>
  <si>
    <t>SYF US Equity</t>
  </si>
  <si>
    <t>BF/B US Equity</t>
  </si>
  <si>
    <t>CMG US Equity</t>
  </si>
  <si>
    <t>MS US Equity</t>
  </si>
  <si>
    <t>MTD US Equity</t>
  </si>
  <si>
    <t>TRV US Equity</t>
  </si>
  <si>
    <t>STE US Equity</t>
  </si>
  <si>
    <t>EIX US Equity</t>
  </si>
  <si>
    <t>BKR US Equity</t>
  </si>
  <si>
    <t>HOOD US Equity</t>
  </si>
  <si>
    <t>EVRG US Equity</t>
  </si>
  <si>
    <t>VICI US Equity</t>
  </si>
  <si>
    <t>DRI US Equity</t>
  </si>
  <si>
    <t>WEC US Equity</t>
  </si>
  <si>
    <t>FOX US Equity</t>
  </si>
  <si>
    <t>IQV US Equity</t>
  </si>
  <si>
    <t>POOL US Equity</t>
  </si>
  <si>
    <t>TDG US Equity</t>
  </si>
  <si>
    <t>O US Equity</t>
  </si>
  <si>
    <t>VTRS US Equity</t>
  </si>
  <si>
    <t>AVY US Equity</t>
  </si>
  <si>
    <t>APO US Equity</t>
  </si>
  <si>
    <t>NSC US Equity</t>
  </si>
  <si>
    <t>EXE US Equity</t>
  </si>
  <si>
    <t>APH US Equity</t>
  </si>
  <si>
    <t>WFC US Equity</t>
  </si>
  <si>
    <t>MLM US Equity</t>
  </si>
  <si>
    <t>CPRT US Equity</t>
  </si>
  <si>
    <t>OXY US Equity</t>
  </si>
  <si>
    <t>OKE US Equity</t>
  </si>
  <si>
    <t>COHR US Equity</t>
  </si>
  <si>
    <t>PCG US Equity</t>
  </si>
  <si>
    <t>QCOM US Equity</t>
  </si>
  <si>
    <t>AOS US Equity</t>
  </si>
  <si>
    <t>PPL US Equity</t>
  </si>
  <si>
    <t>ROL US Equity</t>
  </si>
  <si>
    <t>PEP US Equity</t>
  </si>
  <si>
    <t>INTU US Equity</t>
  </si>
  <si>
    <t>NCLH US Equity</t>
  </si>
  <si>
    <t>PHM US Equity</t>
  </si>
  <si>
    <t>C US Equity</t>
  </si>
  <si>
    <t>ACGL US Equity</t>
  </si>
  <si>
    <t>NVDA US Equity</t>
  </si>
  <si>
    <t>A US Equity</t>
  </si>
  <si>
    <t>PGR US Equity</t>
  </si>
  <si>
    <t>HWM US Equity</t>
  </si>
  <si>
    <t>PEG US Equity</t>
  </si>
  <si>
    <t>SLB US Equity</t>
  </si>
  <si>
    <t>ALGN US Equity</t>
  </si>
  <si>
    <t>CARR US Equity</t>
  </si>
  <si>
    <t>SWKS US Equity</t>
  </si>
  <si>
    <t>XYZ US Equity</t>
  </si>
  <si>
    <t>SCHW US Equity</t>
  </si>
  <si>
    <t>HSIC US Equity</t>
  </si>
  <si>
    <t>MCHP US Equity</t>
  </si>
  <si>
    <t>ICE US Equity</t>
  </si>
  <si>
    <t>ORLY US Equity</t>
  </si>
  <si>
    <t>BX US Equity</t>
  </si>
  <si>
    <t>PKG US Equity</t>
  </si>
  <si>
    <t>JBL US Equity</t>
  </si>
  <si>
    <t>ALL US Equity</t>
  </si>
  <si>
    <t>PRU US Equity</t>
  </si>
  <si>
    <t>COIN US Equity</t>
  </si>
  <si>
    <t>DVA US Equity</t>
  </si>
  <si>
    <t>WSM US Equity</t>
  </si>
  <si>
    <t>EQR US Equity</t>
  </si>
  <si>
    <t>NFLX US Equity</t>
  </si>
  <si>
    <t>LMT US Equity</t>
  </si>
  <si>
    <t>MCK US Equity</t>
  </si>
  <si>
    <t>NTAP US Equity</t>
  </si>
  <si>
    <t>UDR US Equity</t>
  </si>
  <si>
    <t>EW US Equity</t>
  </si>
  <si>
    <t>XEL US Equity</t>
  </si>
  <si>
    <t>CCI US Equity</t>
  </si>
  <si>
    <t>EG US Equity</t>
  </si>
  <si>
    <t>STZ US Equity</t>
  </si>
  <si>
    <t>ODFL US Equity</t>
  </si>
  <si>
    <t>SBAC US Equity</t>
  </si>
  <si>
    <t>RMD US Equity</t>
  </si>
  <si>
    <t>VTR US Equity</t>
  </si>
  <si>
    <t>PFG US Equity</t>
  </si>
  <si>
    <t>TRMB US Equity</t>
  </si>
  <si>
    <t>VRT US Equity</t>
  </si>
  <si>
    <t>ROK US Equity</t>
  </si>
  <si>
    <t>STLD US Equity</t>
  </si>
  <si>
    <t>HIG US Equity</t>
  </si>
  <si>
    <t>INVH US Equity</t>
  </si>
  <si>
    <t>CHTR US Equity</t>
  </si>
  <si>
    <t>GEN US Equity</t>
  </si>
  <si>
    <t>CIEN US Equity</t>
  </si>
  <si>
    <t>TPR US Equity</t>
  </si>
  <si>
    <t>TTWO US Equity</t>
  </si>
  <si>
    <t>SRE US Equity</t>
  </si>
  <si>
    <t>KEY US Equity</t>
  </si>
  <si>
    <t>TJX US Equity</t>
  </si>
  <si>
    <t>FIX US Equity</t>
  </si>
  <si>
    <t>CINF US Equity</t>
  </si>
  <si>
    <t>IT US Equity</t>
  </si>
  <si>
    <t>MO US Equity</t>
  </si>
  <si>
    <t>FFIV US Equity</t>
  </si>
  <si>
    <t>MTB US Equity</t>
  </si>
  <si>
    <t>CSGP US Equity</t>
  </si>
  <si>
    <t>DVN US Equity</t>
  </si>
  <si>
    <t>VRSN US Equity</t>
  </si>
  <si>
    <t>GS US Equity</t>
  </si>
  <si>
    <t>AKAM US Equity</t>
  </si>
  <si>
    <t>BLDR US Equity</t>
  </si>
  <si>
    <t>EXR US Equity</t>
  </si>
  <si>
    <t>MCO US Equity</t>
  </si>
  <si>
    <t>MAR US Equity</t>
  </si>
  <si>
    <t>EXC US Equity</t>
  </si>
  <si>
    <t>WST US Equity</t>
  </si>
  <si>
    <t>ED US Equity</t>
  </si>
  <si>
    <t>SOLV US Equity</t>
  </si>
  <si>
    <t>NWS US Equity</t>
  </si>
  <si>
    <t>COF US Equity</t>
  </si>
  <si>
    <t>EBAY US Equity</t>
  </si>
  <si>
    <t>CRM US Equity</t>
  </si>
  <si>
    <t>CASY US Equity</t>
  </si>
  <si>
    <t>INCY US Equity</t>
  </si>
  <si>
    <t>HPE US Equity</t>
  </si>
  <si>
    <t>NVR US Equity</t>
  </si>
  <si>
    <t>GM US Equity</t>
  </si>
  <si>
    <t>COST US Equity</t>
  </si>
  <si>
    <t>SNPS US Equity</t>
  </si>
  <si>
    <t>UPS US Equity</t>
  </si>
  <si>
    <t>NDAQ US Equity</t>
  </si>
  <si>
    <t>HBAN US Equity</t>
  </si>
  <si>
    <t>SHW US Equity</t>
  </si>
  <si>
    <t>MSFT US Equity</t>
  </si>
  <si>
    <t>FIS US Equity</t>
  </si>
  <si>
    <t>URI US Equity</t>
  </si>
  <si>
    <t>ARE US Equity</t>
  </si>
  <si>
    <t>FE US Equity</t>
  </si>
  <si>
    <t>DGX US Equity</t>
  </si>
  <si>
    <t>ISRG US Equity</t>
  </si>
  <si>
    <t>YUM US Equity</t>
  </si>
  <si>
    <t>FANG US Equity</t>
  </si>
  <si>
    <t>GRMN US Equity</t>
  </si>
  <si>
    <t>EA US Equity</t>
  </si>
  <si>
    <t>AON US Equity</t>
  </si>
  <si>
    <t>LUV US Equity</t>
  </si>
  <si>
    <t>AVB US Equity</t>
  </si>
  <si>
    <t>GL US Equity</t>
  </si>
  <si>
    <t>CNC US Equity</t>
  </si>
  <si>
    <t>SBUX US Equity</t>
  </si>
  <si>
    <t>BRO US Equity</t>
  </si>
  <si>
    <t>PNR US Equity</t>
  </si>
  <si>
    <t>DHI US Equity</t>
  </si>
  <si>
    <t>LRCX US Equity</t>
  </si>
  <si>
    <t>JBHT US Equity</t>
  </si>
  <si>
    <t>GILD US Equity</t>
  </si>
  <si>
    <t>DASH US Equity</t>
  </si>
  <si>
    <t>AMT US Equity</t>
  </si>
  <si>
    <t>FITB US Equity</t>
  </si>
  <si>
    <t>COP US Equity</t>
  </si>
  <si>
    <t>AMAT US Equity</t>
  </si>
  <si>
    <t>CAH US Equity</t>
  </si>
  <si>
    <t>TSN US Equity</t>
  </si>
  <si>
    <t>SPG US Equity</t>
  </si>
  <si>
    <t>EL US Equity</t>
  </si>
  <si>
    <t>INTC US Equity</t>
  </si>
  <si>
    <t>WTW US Equity</t>
  </si>
  <si>
    <t>TAP US Equity</t>
  </si>
  <si>
    <t>TMO US Equity</t>
  </si>
  <si>
    <t>ZBRA US Equity</t>
  </si>
  <si>
    <t>ERIE US Equity</t>
  </si>
  <si>
    <t>T US Equity</t>
  </si>
  <si>
    <t>CSCO US Equity</t>
  </si>
  <si>
    <t>BXP US Equity</t>
  </si>
  <si>
    <t>MET US Equity</t>
  </si>
  <si>
    <t>CTAS US Equity</t>
  </si>
  <si>
    <t>BIIB US Equity</t>
  </si>
  <si>
    <t>ADSK US Equity</t>
  </si>
  <si>
    <t>AES US Equity</t>
  </si>
  <si>
    <t>COR US Equity</t>
  </si>
  <si>
    <t>DLTR US Equity</t>
  </si>
  <si>
    <t>ADBE US Equity</t>
  </si>
  <si>
    <t>LYV US Equity</t>
  </si>
  <si>
    <t>TYL US Equity</t>
  </si>
  <si>
    <t>ABNB US Equity</t>
  </si>
  <si>
    <t>WMB US Equity</t>
  </si>
  <si>
    <t>NUE US Equity</t>
  </si>
  <si>
    <t>CB US Equity</t>
  </si>
  <si>
    <t>SNA US Equity</t>
  </si>
  <si>
    <t>WMT US Equity</t>
  </si>
  <si>
    <t>TXT US Equity</t>
  </si>
  <si>
    <t>NTRS US Equity</t>
  </si>
  <si>
    <t>VLO US Equity</t>
  </si>
  <si>
    <t>WM US Equity</t>
  </si>
  <si>
    <t>MOS US Equity</t>
  </si>
  <si>
    <t>ARES US Equity</t>
  </si>
  <si>
    <t>UNP US Equity</t>
  </si>
  <si>
    <t>IVZ US Equity</t>
  </si>
  <si>
    <t>SO US Equity</t>
  </si>
  <si>
    <t>GPC US Equity</t>
  </si>
  <si>
    <t>TFC US Equity</t>
  </si>
  <si>
    <t>UHS US Equity</t>
  </si>
  <si>
    <t>CPT US Equity</t>
  </si>
  <si>
    <t>ALB US Equity</t>
  </si>
  <si>
    <t>STT US Equity</t>
  </si>
  <si>
    <t>WRB US Equity</t>
  </si>
  <si>
    <t>PPG US Equity</t>
  </si>
  <si>
    <t>EQIX US Equity</t>
  </si>
  <si>
    <t>KDP US Equity</t>
  </si>
  <si>
    <t>SJM US Equity</t>
  </si>
  <si>
    <t>TER US Equity</t>
  </si>
  <si>
    <t>TGT US Equity</t>
  </si>
  <si>
    <t>PYPL US Equity</t>
  </si>
  <si>
    <t>BNY US Equity</t>
  </si>
  <si>
    <t>CRH US Equity</t>
  </si>
  <si>
    <t>SWK US Equity</t>
  </si>
  <si>
    <t>TXN US Equity</t>
  </si>
  <si>
    <t>EXPE US Equity</t>
  </si>
  <si>
    <t>AMGN US Equity</t>
  </si>
  <si>
    <t>TT US Equity</t>
  </si>
  <si>
    <t>CBRE US Equity</t>
  </si>
  <si>
    <t>CME US Equity</t>
  </si>
  <si>
    <t>BKNG US Equity</t>
  </si>
  <si>
    <t>FSLR US Equity</t>
  </si>
  <si>
    <t>ORCL US Equity</t>
  </si>
  <si>
    <t>NRG US Equity</t>
  </si>
  <si>
    <t>PCAR US Equity</t>
  </si>
  <si>
    <t>NKE US Equity</t>
  </si>
  <si>
    <t>AFL US Equity</t>
  </si>
  <si>
    <t>AIZ US Equity</t>
  </si>
  <si>
    <t>MNST US Equity</t>
  </si>
  <si>
    <t>AZO US Equity</t>
  </si>
  <si>
    <t>UNH US Equity</t>
  </si>
  <si>
    <t>EPAM US Equity</t>
  </si>
  <si>
    <t>NWSA US Equity</t>
  </si>
  <si>
    <t>DXCM US Equity</t>
  </si>
  <si>
    <t>RL US Equity</t>
  </si>
  <si>
    <t>NXPI US Equity</t>
  </si>
  <si>
    <t>VMC US Equity</t>
  </si>
  <si>
    <t>NI US Equity</t>
  </si>
  <si>
    <t>FDS US Equity</t>
  </si>
  <si>
    <t>RF US Equity</t>
  </si>
  <si>
    <t>TSLA US Equity</t>
  </si>
  <si>
    <t>META US Equity</t>
  </si>
  <si>
    <t>AME US Equity</t>
  </si>
  <si>
    <t>DD US Equity</t>
  </si>
  <si>
    <t>PNW US Equity</t>
  </si>
  <si>
    <t>SMCI US Equity</t>
  </si>
  <si>
    <t>GEHC US Equity</t>
  </si>
  <si>
    <t>EXPD US Equity</t>
  </si>
  <si>
    <t>IBKR US Equity</t>
  </si>
  <si>
    <t>MDLZ US Equity</t>
  </si>
  <si>
    <t>ULTA US Equity</t>
  </si>
  <si>
    <t>MMM US Equity</t>
  </si>
  <si>
    <t>DPZ US Equity</t>
  </si>
  <si>
    <t>WDC US Equity</t>
  </si>
  <si>
    <t>DOC US Equity</t>
  </si>
  <si>
    <t>WAB US Equity</t>
  </si>
  <si>
    <t>SATS US Equity</t>
  </si>
  <si>
    <t>IP US Equity</t>
  </si>
  <si>
    <t>WBD US Equity</t>
  </si>
  <si>
    <t>JCI US Equity</t>
  </si>
  <si>
    <t>BALL US Equity</t>
  </si>
  <si>
    <t>ELV US Equity</t>
  </si>
  <si>
    <t>DELL US Equity</t>
  </si>
  <si>
    <t>EME US Equity</t>
  </si>
  <si>
    <t>TRGP US Equity</t>
  </si>
  <si>
    <t>AIG US Equity</t>
  </si>
  <si>
    <t>TROW US Equity</t>
  </si>
  <si>
    <t>BR US Equity</t>
  </si>
  <si>
    <t>CPAY US Equity</t>
  </si>
  <si>
    <t>DAL US Equity</t>
  </si>
  <si>
    <t>PH US Equity</t>
  </si>
  <si>
    <t>MSI US Equity</t>
  </si>
  <si>
    <t>D US Equity</t>
  </si>
  <si>
    <t>LNT US Equity</t>
  </si>
  <si>
    <t>HLT US Equity</t>
  </si>
  <si>
    <t>PSA US Equity</t>
  </si>
  <si>
    <t>ETN US Equity</t>
  </si>
  <si>
    <t>DG US Equity</t>
  </si>
  <si>
    <t>HST US Equity</t>
  </si>
  <si>
    <t>DDOG US Equity</t>
  </si>
  <si>
    <t>CVS US Equity</t>
  </si>
  <si>
    <t>XYL US Equity</t>
  </si>
  <si>
    <t>PTC US Equity</t>
  </si>
  <si>
    <t>FRT US Equity</t>
  </si>
  <si>
    <t>MPWR US Equity</t>
  </si>
  <si>
    <t>V US Equity</t>
  </si>
  <si>
    <t>CMCSA US Equity</t>
  </si>
  <si>
    <t>JKHY US Equity</t>
  </si>
  <si>
    <t>WDAY US Equity</t>
  </si>
  <si>
    <t>VEEV US Equity</t>
  </si>
  <si>
    <t>MSCI US Equity</t>
  </si>
  <si>
    <t>NOW US Equity</t>
  </si>
  <si>
    <t>OMC US Equity</t>
  </si>
  <si>
    <t>AJG US Equity</t>
  </si>
  <si>
    <t>FICO US Equity</t>
  </si>
  <si>
    <t>PLTR US Equity</t>
  </si>
  <si>
    <t>AVGO US Equity</t>
  </si>
  <si>
    <t>LEN US Equity</t>
  </si>
  <si>
    <t>CTVA US Equity</t>
  </si>
  <si>
    <t>ACN US Equity</t>
  </si>
  <si>
    <t>LULU US Equity</t>
  </si>
  <si>
    <t>VRSK US Equity</t>
  </si>
  <si>
    <t>MPC US Equity</t>
  </si>
  <si>
    <t>BEN US Equity</t>
  </si>
  <si>
    <t>KMI US Equity</t>
  </si>
  <si>
    <t>RTX US Equity</t>
  </si>
  <si>
    <t>XOM US Equity</t>
  </si>
  <si>
    <t>OTIS US Equity</t>
  </si>
  <si>
    <t>STX US Equity</t>
  </si>
  <si>
    <t>TPL US Equity</t>
  </si>
  <si>
    <t>GEV US Equity</t>
  </si>
  <si>
    <t>CEG US Equity</t>
  </si>
  <si>
    <t>ES US Equity</t>
  </si>
  <si>
    <t>AMZN US Equity</t>
  </si>
  <si>
    <t>VLTO US Equity</t>
  </si>
  <si>
    <t>AAPL US Equity</t>
  </si>
  <si>
    <t>IRM US Equity</t>
  </si>
  <si>
    <t>CHD US Equity</t>
  </si>
  <si>
    <t>FDX US Equity</t>
  </si>
  <si>
    <t>APTV US Equity</t>
  </si>
  <si>
    <t>CFG US Equity</t>
  </si>
  <si>
    <t>LLY US Equity</t>
  </si>
  <si>
    <t>KVUE US Equity</t>
  </si>
  <si>
    <t>EMR US Equity</t>
  </si>
  <si>
    <t>LIN US Equity</t>
  </si>
  <si>
    <t>MU US Equity</t>
  </si>
  <si>
    <t>KHC US Equity</t>
  </si>
  <si>
    <t>BG US Equity</t>
  </si>
  <si>
    <t>PG US Equity</t>
  </si>
  <si>
    <t>LH US Equity</t>
  </si>
  <si>
    <t>KMB US Equity</t>
  </si>
  <si>
    <t>SW US Equity</t>
  </si>
  <si>
    <t>RJF US Equity</t>
  </si>
  <si>
    <t>LOW US Equity</t>
  </si>
  <si>
    <t>PNC US Equity</t>
  </si>
  <si>
    <t>BLK US Equity</t>
  </si>
  <si>
    <t>SYY US Equity</t>
  </si>
  <si>
    <t>TSCO US Equity</t>
  </si>
  <si>
    <t>ADI US Equity</t>
  </si>
  <si>
    <t>DTE US Equity</t>
  </si>
  <si>
    <t>TEL US Equity</t>
  </si>
  <si>
    <t>NDSN US Equity</t>
  </si>
  <si>
    <t>TKO US Equity</t>
  </si>
  <si>
    <t>SNDK US Equity</t>
  </si>
  <si>
    <t>Q US Equity</t>
  </si>
  <si>
    <t>PSKY US Equity</t>
  </si>
  <si>
    <t>PLD US Equity</t>
  </si>
  <si>
    <t>2602335D US Equity</t>
  </si>
  <si>
    <t>HUBB US Equity</t>
  </si>
  <si>
    <t>PWR US Equity</t>
  </si>
  <si>
    <t>ABT US Equity</t>
  </si>
  <si>
    <t>CDNS US Equity</t>
  </si>
  <si>
    <t>AMD US Equity</t>
  </si>
  <si>
    <t>APD US Equity</t>
  </si>
  <si>
    <t>DLR US Equity</t>
  </si>
  <si>
    <t>HON US Equity</t>
  </si>
  <si>
    <t>KLAC US Equity</t>
  </si>
  <si>
    <t>ESS US Equity</t>
  </si>
  <si>
    <t>AEP US Equity</t>
  </si>
  <si>
    <t>ADM US Equity</t>
  </si>
  <si>
    <t>KR US Equity</t>
  </si>
  <si>
    <t>ATO US Equity</t>
  </si>
  <si>
    <t>BAX US Equity</t>
  </si>
  <si>
    <t>BDX US Equity</t>
  </si>
  <si>
    <t>WELL US Equity</t>
  </si>
  <si>
    <t>VZ US Equity</t>
  </si>
  <si>
    <t>PM US Equity</t>
  </si>
  <si>
    <t>BBY US Equity</t>
  </si>
  <si>
    <t>LVS US Equity</t>
  </si>
  <si>
    <t>L US Equity</t>
  </si>
  <si>
    <t>BSX US Equity</t>
  </si>
  <si>
    <t>ANET US Equity</t>
  </si>
  <si>
    <t>GIS US Equity</t>
  </si>
  <si>
    <t>WYNN US Equity</t>
  </si>
  <si>
    <t>BMY US Equity</t>
  </si>
  <si>
    <t>CPB US Equity</t>
  </si>
  <si>
    <t>CNP US Equity</t>
  </si>
  <si>
    <t>TECH US Equity</t>
  </si>
  <si>
    <t>GD US Equity</t>
  </si>
  <si>
    <t>CAT US Equity</t>
  </si>
  <si>
    <t>HAL US Equity</t>
  </si>
  <si>
    <t>JPM US Equity</t>
  </si>
  <si>
    <t>VST US Equity</t>
  </si>
  <si>
    <t>RVTY US Equity</t>
  </si>
  <si>
    <t>DECK US Equity</t>
  </si>
  <si>
    <t>RSG US Equity</t>
  </si>
  <si>
    <t>HCA US Equity</t>
  </si>
  <si>
    <t>CVX US Equity</t>
  </si>
  <si>
    <t>CLX US Equity</t>
  </si>
  <si>
    <t>CMS US Equity</t>
  </si>
  <si>
    <t>CRL US Equity</t>
  </si>
  <si>
    <t>IR US Equity</t>
  </si>
  <si>
    <t>HRL US Equity</t>
  </si>
  <si>
    <t>KO US Equity</t>
  </si>
  <si>
    <t>CL US Equity</t>
  </si>
  <si>
    <t>DOW US Equity</t>
  </si>
  <si>
    <t>CAG US Equity</t>
  </si>
  <si>
    <t>ALLE US Equity</t>
  </si>
  <si>
    <t>GLW US Equity</t>
  </si>
  <si>
    <t>ROP US Equity</t>
  </si>
  <si>
    <t>LYB US Equity</t>
  </si>
  <si>
    <t>KIM US Equity</t>
  </si>
  <si>
    <t>CSX US Equity</t>
  </si>
  <si>
    <t>LDOS US Equity</t>
  </si>
  <si>
    <t>MRNA US Equity</t>
  </si>
  <si>
    <t>CRWD US Equity</t>
  </si>
  <si>
    <t>CMI US Equity</t>
  </si>
  <si>
    <t>DHR US Equity</t>
  </si>
  <si>
    <t>DE US Equity</t>
  </si>
  <si>
    <t>FAST US Equity</t>
  </si>
  <si>
    <t>DIS US Equity</t>
  </si>
  <si>
    <t>DOV US Equity</t>
  </si>
  <si>
    <t>DUK US Equity</t>
  </si>
  <si>
    <t>ZBH US Equity</t>
  </si>
  <si>
    <t>ECL US Equity</t>
  </si>
  <si>
    <t>CCL US Equity</t>
  </si>
  <si>
    <t>GE US Equity</t>
  </si>
  <si>
    <t>EOG US Equity</t>
  </si>
  <si>
    <t>MKC US Equity</t>
  </si>
  <si>
    <t>F US Equity</t>
  </si>
  <si>
    <t>LITE US Equity</t>
  </si>
  <si>
    <t>NEE US Equity</t>
  </si>
  <si>
    <t>TMUS US Equity</t>
  </si>
  <si>
    <t>FCX US Equity</t>
  </si>
  <si>
    <t>NOC US Equity</t>
  </si>
  <si>
    <t>HAS US Equity</t>
  </si>
  <si>
    <t>LHX US Equity</t>
  </si>
  <si>
    <t>GDDY US Equity</t>
  </si>
  <si>
    <t>GOOG US Equity</t>
  </si>
  <si>
    <t>ETR US Equity</t>
  </si>
  <si>
    <t>HSY US Equity</t>
  </si>
  <si>
    <t>HPQ US Equity</t>
  </si>
  <si>
    <t>PSX US Equity</t>
  </si>
  <si>
    <t>HD US Equity</t>
  </si>
  <si>
    <t>HUM US Equity</t>
  </si>
  <si>
    <t>IEX US Equity</t>
  </si>
  <si>
    <t>IBM US Equity</t>
  </si>
  <si>
    <t>WAT US Equity</t>
  </si>
  <si>
    <t>CI US Equity</t>
  </si>
  <si>
    <t>IFF US Equity</t>
  </si>
  <si>
    <t>GWW US Equity</t>
  </si>
  <si>
    <t>JNJ US Equity</t>
  </si>
  <si>
    <t>LII US Equity</t>
  </si>
  <si>
    <t>MRSH US Equity</t>
  </si>
  <si>
    <t>REG US Equity</t>
  </si>
  <si>
    <t>CTSH US Equity</t>
  </si>
  <si>
    <t>ITW US Equity</t>
  </si>
  <si>
    <t>MAS US Equity</t>
  </si>
  <si>
    <t>MCD US Equity</t>
  </si>
  <si>
    <t>MDT US Equity</t>
  </si>
  <si>
    <t>MGM US Equity</t>
  </si>
  <si>
    <t>NEM US Equity</t>
  </si>
  <si>
    <t>BAC US Equity</t>
  </si>
  <si>
    <t>Active Share</t>
    <phoneticPr fontId="2" type="noConversion"/>
  </si>
  <si>
    <t>=BQL("holdings('SPY US Equity', dates=2026-05-21)","id().value, name().value, id().weights, classification_name(gics,1).value as #GICS_Sector, total_return(calc_interval=range(2026-01-01,2026-05-21)) as #TR","currency=USD","mode=cached")</t>
    <phoneticPr fontId="2" type="noConversion"/>
  </si>
  <si>
    <t>ID</t>
  </si>
  <si>
    <t>默克藥廠</t>
  </si>
  <si>
    <t>Health Care</t>
  </si>
  <si>
    <t>阿默普萊斯金融公司</t>
  </si>
  <si>
    <t>Financials</t>
  </si>
  <si>
    <t>聯合航空控股公司</t>
  </si>
  <si>
    <t>Industrials</t>
  </si>
  <si>
    <t>AppLovin公司</t>
  </si>
  <si>
    <t>Information Technology</t>
  </si>
  <si>
    <t>易速傳真公司</t>
  </si>
  <si>
    <t>阿莫林公司</t>
  </si>
  <si>
    <t>Utilities</t>
  </si>
  <si>
    <t>得立達科技公司</t>
  </si>
  <si>
    <t>輝瑞大藥廠股份有限公司</t>
  </si>
  <si>
    <t>福斯公司</t>
  </si>
  <si>
    <t>Communication Services</t>
  </si>
  <si>
    <t>美國水處理公司</t>
  </si>
  <si>
    <t>卡爾瓦納公司</t>
  </si>
  <si>
    <t>Consumer Discretionary</t>
  </si>
  <si>
    <t>Fortive公司</t>
  </si>
  <si>
    <t>Mid-America Apartment Communit</t>
  </si>
  <si>
    <t>Real Estate</t>
  </si>
  <si>
    <t>美國運通</t>
  </si>
  <si>
    <t>羅賓昇國際聯運股份有限公司</t>
  </si>
  <si>
    <t>芝加哥選擇權交易所全球市場公司</t>
  </si>
  <si>
    <t>防特網公司</t>
  </si>
  <si>
    <t>CF工業控股公司</t>
  </si>
  <si>
    <t>Materials</t>
  </si>
  <si>
    <t>波克夏海瑟威公司</t>
  </si>
  <si>
    <t>羅斯百貨公司</t>
  </si>
  <si>
    <t>史賽克公司</t>
  </si>
  <si>
    <t>標準普爾全球公司</t>
  </si>
  <si>
    <t>艾伯維公司</t>
  </si>
  <si>
    <t>CDW Corp/DE</t>
  </si>
  <si>
    <t>美國合眾銀行</t>
  </si>
  <si>
    <t>Huntington Ingalls Industries</t>
  </si>
  <si>
    <t>惠好公司</t>
  </si>
  <si>
    <t>波音公司</t>
  </si>
  <si>
    <t>Insulet公司</t>
  </si>
  <si>
    <t>Regeneron Pharmaceuticals Inc</t>
  </si>
  <si>
    <t>皇家加勒比國際遊輪有限公司</t>
  </si>
  <si>
    <t>環匯公司</t>
  </si>
  <si>
    <t>安姆科公開有限公司</t>
  </si>
  <si>
    <t>Alphabet公司</t>
  </si>
  <si>
    <t>福泰製藥公司</t>
  </si>
  <si>
    <t>科爾伯格-克拉維斯-羅伯茨公司</t>
  </si>
  <si>
    <t>EQT公司</t>
  </si>
  <si>
    <t>Energy</t>
  </si>
  <si>
    <t>US Dollar Spot</t>
  </si>
  <si>
    <t>萬事達卡</t>
  </si>
  <si>
    <t>IDEXX實驗室公司</t>
  </si>
  <si>
    <t>碩騰股份有限公司</t>
  </si>
  <si>
    <t>雅各布解決方案公司</t>
  </si>
  <si>
    <t>Cooper Cos Inc/The</t>
  </si>
  <si>
    <t>阿帕奇公司</t>
  </si>
  <si>
    <t>Paychex公司</t>
  </si>
  <si>
    <t>是德科技公司</t>
  </si>
  <si>
    <t>優步科技公司</t>
  </si>
  <si>
    <t>交易台公司</t>
  </si>
  <si>
    <t>泰瑟國際公司</t>
  </si>
  <si>
    <t>基內瑞克控股公司</t>
  </si>
  <si>
    <t>Fiserv公司</t>
  </si>
  <si>
    <t>自動資料處理公司</t>
  </si>
  <si>
    <t>安森美半導體</t>
  </si>
  <si>
    <t>同步金融</t>
  </si>
  <si>
    <t>百富門公司</t>
  </si>
  <si>
    <t>Consumer Staples</t>
  </si>
  <si>
    <t>奇波雷墨西哥燒烤公司</t>
  </si>
  <si>
    <t>摩根士丹利</t>
  </si>
  <si>
    <t>Mettler-Toledo國際公司</t>
  </si>
  <si>
    <t>旅行者保險公司</t>
  </si>
  <si>
    <t>STERIS公開有限公司</t>
  </si>
  <si>
    <t>愛迪生國際</t>
  </si>
  <si>
    <t>貝克休斯公司</t>
  </si>
  <si>
    <t>羅賓漢市場公司</t>
  </si>
  <si>
    <t>Evergy公司</t>
  </si>
  <si>
    <t>VICI房地產公司</t>
  </si>
  <si>
    <t>達登餐廳公司</t>
  </si>
  <si>
    <t>WEC能源集團公司</t>
  </si>
  <si>
    <t>艾昆緯控股公司</t>
  </si>
  <si>
    <t>普爾公司</t>
  </si>
  <si>
    <t>TransDigm集團公司</t>
  </si>
  <si>
    <t>Realty Income公司</t>
  </si>
  <si>
    <t>暉致公司</t>
  </si>
  <si>
    <t>艾利丹尼森</t>
  </si>
  <si>
    <t>阿波羅全球管理公司</t>
  </si>
  <si>
    <t>諾福克南方公司</t>
  </si>
  <si>
    <t>Expand能源公司</t>
  </si>
  <si>
    <t>安費諾</t>
  </si>
  <si>
    <t>富國銀行</t>
  </si>
  <si>
    <t>Martin Marietta Materials Inc</t>
  </si>
  <si>
    <t>科派特公司</t>
  </si>
  <si>
    <t>西方石油</t>
  </si>
  <si>
    <t>ONEOK Inc</t>
  </si>
  <si>
    <t>連貫公司</t>
  </si>
  <si>
    <t>太平洋電力瓦斯公司</t>
  </si>
  <si>
    <t>高通公司</t>
  </si>
  <si>
    <t>A.O.史密斯公司</t>
  </si>
  <si>
    <t>PPL公司</t>
  </si>
  <si>
    <t>羅林斯公司</t>
  </si>
  <si>
    <t>百事可樂公司</t>
  </si>
  <si>
    <t>直覺公司</t>
  </si>
  <si>
    <t>挪威郵輪控股有限公司</t>
  </si>
  <si>
    <t>普得集團公司</t>
  </si>
  <si>
    <t>花旗集團公司</t>
  </si>
  <si>
    <t>艾奇資本集團有限公司</t>
  </si>
  <si>
    <t>輝達公司</t>
  </si>
  <si>
    <t>安捷倫科技公司</t>
  </si>
  <si>
    <t>先進公司</t>
  </si>
  <si>
    <t>Howmet航太公司</t>
  </si>
  <si>
    <t>大眾服務企業集團公司</t>
  </si>
  <si>
    <t>斯倫貝謝公眾有限公司</t>
  </si>
  <si>
    <t>艾利科技公司</t>
  </si>
  <si>
    <t>開利全球公司</t>
  </si>
  <si>
    <t>思佳訊半導體有限公司</t>
  </si>
  <si>
    <t>布洛克公司</t>
  </si>
  <si>
    <t>嘉信理財公司</t>
  </si>
  <si>
    <t>漢瑞祥公司</t>
  </si>
  <si>
    <t>超捷國際股份有限公司</t>
  </si>
  <si>
    <t>洲際交易所</t>
  </si>
  <si>
    <t>奧賴利汽車公司</t>
  </si>
  <si>
    <t>黑石公司</t>
  </si>
  <si>
    <t>美國包裝公司</t>
  </si>
  <si>
    <t>捷普公司</t>
  </si>
  <si>
    <t>好事達保險公司</t>
  </si>
  <si>
    <t>保德信金融</t>
  </si>
  <si>
    <t>比特幣基地全球公司</t>
  </si>
  <si>
    <t>德維特公司</t>
  </si>
  <si>
    <t>威廉所諾馬公司</t>
  </si>
  <si>
    <t>公平住屋公司</t>
  </si>
  <si>
    <t>網飛公司</t>
  </si>
  <si>
    <t>洛克希德馬丁</t>
  </si>
  <si>
    <t>麥卡遜</t>
  </si>
  <si>
    <t>網路應用公司</t>
  </si>
  <si>
    <t>UDR公司</t>
  </si>
  <si>
    <t>愛德華生命科學</t>
  </si>
  <si>
    <t>傲賽能源公司</t>
  </si>
  <si>
    <t>皇冠城堡公司</t>
  </si>
  <si>
    <t>Everest集團有限公司</t>
  </si>
  <si>
    <t>星座品牌公司</t>
  </si>
  <si>
    <t>Old Dominion Freight Line公司</t>
  </si>
  <si>
    <t>SBA通訊公司</t>
  </si>
  <si>
    <t>瑞斯邁股份有限公司</t>
  </si>
  <si>
    <t>Ventas公司</t>
  </si>
  <si>
    <t>信安金融保險集團</t>
  </si>
  <si>
    <t>天寶公司</t>
  </si>
  <si>
    <t>維諦控股公司</t>
  </si>
  <si>
    <t>洛克威爾自動化公司</t>
  </si>
  <si>
    <t>鋼鐵動態公司</t>
  </si>
  <si>
    <t>哈特福德保險集團公司</t>
  </si>
  <si>
    <t>邀請回家公司</t>
  </si>
  <si>
    <t>特許通訊公司</t>
  </si>
  <si>
    <t>數位世代公司</t>
  </si>
  <si>
    <t>喜雅納公司</t>
  </si>
  <si>
    <t>掛毯公司</t>
  </si>
  <si>
    <t>Take-Two互動軟體公司</t>
  </si>
  <si>
    <t>桑普拉</t>
  </si>
  <si>
    <t>科凱國際集團</t>
  </si>
  <si>
    <t>TJX公司</t>
  </si>
  <si>
    <t>Comfort系統美國公司</t>
  </si>
  <si>
    <t>辛辛那提金融公司</t>
  </si>
  <si>
    <t>高德納公司</t>
  </si>
  <si>
    <t>高特利集團</t>
  </si>
  <si>
    <t>F5公司</t>
  </si>
  <si>
    <t>M&amp;T銀行公司</t>
  </si>
  <si>
    <t>科斯塔集團公司</t>
  </si>
  <si>
    <t>戴文能源</t>
  </si>
  <si>
    <t>維聖公司</t>
  </si>
  <si>
    <t>高盛集團</t>
  </si>
  <si>
    <t>Akamai科技公司</t>
  </si>
  <si>
    <t>Builders FirstSource Inc</t>
  </si>
  <si>
    <t>額外空間倉儲公司</t>
  </si>
  <si>
    <t>穆迪</t>
  </si>
  <si>
    <t>萬豪國際集團(馬里蘭)</t>
  </si>
  <si>
    <t>愛克斯龍公司</t>
  </si>
  <si>
    <t>西氏醫藥服務公司</t>
  </si>
  <si>
    <t>聯合愛迪生</t>
  </si>
  <si>
    <t>Solventum公司</t>
  </si>
  <si>
    <t>新聞集團</t>
  </si>
  <si>
    <t>第一資本金融公司</t>
  </si>
  <si>
    <t>電子灣拍賣網站公司</t>
  </si>
  <si>
    <t>賽富時公司</t>
  </si>
  <si>
    <t>凱西便利商店公司</t>
  </si>
  <si>
    <t>英賽德公司</t>
  </si>
  <si>
    <t>慧與企業公司</t>
  </si>
  <si>
    <t>NVR Inc</t>
  </si>
  <si>
    <t>通用汽車公司</t>
  </si>
  <si>
    <t>好市多公司</t>
  </si>
  <si>
    <t>新思科技公司</t>
  </si>
  <si>
    <t>聯合包裹服務公司</t>
  </si>
  <si>
    <t>那斯達克有限公司</t>
  </si>
  <si>
    <t>杭庭頓銀行公司（俄亥俄州）</t>
  </si>
  <si>
    <t>薛文威廉公司</t>
  </si>
  <si>
    <t>微軟公司</t>
  </si>
  <si>
    <t>富達全國資訊服務</t>
  </si>
  <si>
    <t>聯合租賃公司</t>
  </si>
  <si>
    <t>亞歷山卓不動產股份公司</t>
  </si>
  <si>
    <t>第一能源公司</t>
  </si>
  <si>
    <t>奎斯特診斷公司</t>
  </si>
  <si>
    <t>直覺外科公司</t>
  </si>
  <si>
    <t>百勝餐飲</t>
  </si>
  <si>
    <t>響尾蛇能源公司</t>
  </si>
  <si>
    <t>國際航電股份有限公司</t>
  </si>
  <si>
    <t>美商藝電公司</t>
  </si>
  <si>
    <t>怡安公開有限公司</t>
  </si>
  <si>
    <t>西南航空</t>
  </si>
  <si>
    <t>AvalonBay Communities Inc</t>
  </si>
  <si>
    <t>環球人壽公司</t>
  </si>
  <si>
    <t>聖丁公司</t>
  </si>
  <si>
    <t>星巴克</t>
  </si>
  <si>
    <t>Brown &amp; Brown Inc</t>
  </si>
  <si>
    <t>濱特爾公開有限公司</t>
  </si>
  <si>
    <t>D.R. Horton公司</t>
  </si>
  <si>
    <t>科林研發股份有限公司</t>
  </si>
  <si>
    <t>JB Hunt Transport Services Inc</t>
  </si>
  <si>
    <t>吉利德科學公司</t>
  </si>
  <si>
    <t>DoorDash公司</t>
  </si>
  <si>
    <t>美國電塔</t>
  </si>
  <si>
    <t>五三銀行公司</t>
  </si>
  <si>
    <t>康菲石油</t>
  </si>
  <si>
    <t>應用材料</t>
  </si>
  <si>
    <t>嘉德諾健康集團</t>
  </si>
  <si>
    <t>泰森食品</t>
  </si>
  <si>
    <t>賽門物業集團</t>
  </si>
  <si>
    <t>雅詩蘭黛</t>
  </si>
  <si>
    <t>英特爾</t>
  </si>
  <si>
    <t>威利斯韜睿惠悅公司</t>
  </si>
  <si>
    <t>摩紳庫爾斯飲料公司</t>
  </si>
  <si>
    <t>賽默飛世爾科技有限公司</t>
  </si>
  <si>
    <t>斑馬科技公司</t>
  </si>
  <si>
    <t>伊利賠償公司</t>
  </si>
  <si>
    <t>AT&amp;T公司</t>
  </si>
  <si>
    <t>思科</t>
  </si>
  <si>
    <t>波士頓地產公司</t>
  </si>
  <si>
    <t>大都會人壽</t>
  </si>
  <si>
    <t>信達思公司</t>
  </si>
  <si>
    <t>百健公司</t>
  </si>
  <si>
    <t>歐特克</t>
  </si>
  <si>
    <t>愛伊斯公司</t>
  </si>
  <si>
    <t>森科拉公司</t>
  </si>
  <si>
    <t>錢樹商店公司</t>
  </si>
  <si>
    <t>奧多比系統公司</t>
  </si>
  <si>
    <t>理想國演藝股份有限公司</t>
  </si>
  <si>
    <t>Tyler Technologies Inc</t>
  </si>
  <si>
    <t>愛彼迎公司</t>
  </si>
  <si>
    <t>威廉斯公司</t>
  </si>
  <si>
    <t>諾可公司</t>
  </si>
  <si>
    <t>丘博有限公司</t>
  </si>
  <si>
    <t>實耐寶公司</t>
  </si>
  <si>
    <t>沃爾瑪公司</t>
  </si>
  <si>
    <t>德事隆公司</t>
  </si>
  <si>
    <t>北方信託公司</t>
  </si>
  <si>
    <t>瓦勒羅能源</t>
  </si>
  <si>
    <t>廢棄物管理</t>
  </si>
  <si>
    <t>美盛公司</t>
  </si>
  <si>
    <t>戰神管理公司</t>
  </si>
  <si>
    <t>聯合太平洋公司</t>
  </si>
  <si>
    <t>景順有限公司</t>
  </si>
  <si>
    <t>南方公司</t>
  </si>
  <si>
    <t>純正零件公司</t>
  </si>
  <si>
    <t>Truist金融公司</t>
  </si>
  <si>
    <t>環球健康服務公司</t>
  </si>
  <si>
    <t>卡姆登房地產信託</t>
  </si>
  <si>
    <t>雅保公司</t>
  </si>
  <si>
    <t>道富銀行</t>
  </si>
  <si>
    <t>W.R.柏克利公司</t>
  </si>
  <si>
    <t>匹茲堡工業</t>
  </si>
  <si>
    <t>Equinix公司</t>
  </si>
  <si>
    <t>克里格胡椒博士公司</t>
  </si>
  <si>
    <t>J M Smucker Co/The</t>
  </si>
  <si>
    <t>泰瑞達公司</t>
  </si>
  <si>
    <t>目標百貨公司</t>
  </si>
  <si>
    <t>Paypal控股有限公司</t>
  </si>
  <si>
    <t>紐約梅隆銀行</t>
  </si>
  <si>
    <t>CRH公開有限公司</t>
  </si>
  <si>
    <t>史丹利百得公司</t>
  </si>
  <si>
    <t>德州儀器公司</t>
  </si>
  <si>
    <t>智遊網集團公司</t>
  </si>
  <si>
    <t>安進公司</t>
  </si>
  <si>
    <t>特靈科技公開有限公司</t>
  </si>
  <si>
    <t>世邦魏理仕集團公司</t>
  </si>
  <si>
    <t>芝加哥商品期貨交易所集團</t>
  </si>
  <si>
    <t>繽客控股公司</t>
  </si>
  <si>
    <t>第一太陽能</t>
  </si>
  <si>
    <t>甲骨文公司</t>
  </si>
  <si>
    <t>NRG Energy Inc</t>
  </si>
  <si>
    <t>帕卡公司</t>
  </si>
  <si>
    <t>耐吉公司</t>
  </si>
  <si>
    <t>美國家庭人壽保險公司</t>
  </si>
  <si>
    <t>安信龍公司</t>
  </si>
  <si>
    <t>怪獸飲料公司</t>
  </si>
  <si>
    <t>汽車地帶公司</t>
  </si>
  <si>
    <t>聯合健康集團公司</t>
  </si>
  <si>
    <t>億磐系統公司</t>
  </si>
  <si>
    <t>德康醫療公司</t>
  </si>
  <si>
    <t>雷夫羅倫公司</t>
  </si>
  <si>
    <t>恩智浦半導體股份有限公司</t>
  </si>
  <si>
    <t>瓦爾坎材料公司</t>
  </si>
  <si>
    <t>NiSource公司</t>
  </si>
  <si>
    <t>FactSet Research Systems Inc</t>
  </si>
  <si>
    <t>區域金融公司</t>
  </si>
  <si>
    <t>特斯拉公司</t>
  </si>
  <si>
    <t>Meta平台公司</t>
  </si>
  <si>
    <t>阿美特克公司</t>
  </si>
  <si>
    <t>新杜邦公司</t>
  </si>
  <si>
    <t>皮那可資本公司</t>
  </si>
  <si>
    <t>超微電腦公司</t>
  </si>
  <si>
    <t>奇異醫療保健科技公司</t>
  </si>
  <si>
    <t>Expeditors International of Wa</t>
  </si>
  <si>
    <t>盈透證券集團公司</t>
  </si>
  <si>
    <t>億滋國際</t>
  </si>
  <si>
    <t>猶他美容公司</t>
  </si>
  <si>
    <t>3M</t>
  </si>
  <si>
    <t>達美樂披薩股份有限公司</t>
  </si>
  <si>
    <t>威騰電子公司</t>
  </si>
  <si>
    <t>Healthpeak Properties Inc</t>
  </si>
  <si>
    <t>西屋空氣制動技術公司</t>
  </si>
  <si>
    <t>艾科思達公司</t>
  </si>
  <si>
    <t>國際紙業</t>
  </si>
  <si>
    <t>華納兄弟探索公司</t>
  </si>
  <si>
    <t>江森自控國際公司</t>
  </si>
  <si>
    <t>包爾公司</t>
  </si>
  <si>
    <t>Elevance健康公司</t>
  </si>
  <si>
    <t>戴爾科技公司</t>
  </si>
  <si>
    <t>EMCOR集團公司</t>
  </si>
  <si>
    <t>塔加資源公司</t>
  </si>
  <si>
    <t>美國國際集團</t>
  </si>
  <si>
    <t>普徠仕集團公司</t>
  </si>
  <si>
    <t>Broadridge財務解決方案公司</t>
  </si>
  <si>
    <t>Corpay公司</t>
  </si>
  <si>
    <t>達美航空</t>
  </si>
  <si>
    <t>派克漢尼汾公司</t>
  </si>
  <si>
    <t>摩托羅拉系統公司</t>
  </si>
  <si>
    <t>道明尼能源公司</t>
  </si>
  <si>
    <t>聯合能源公司</t>
  </si>
  <si>
    <t>希爾頓全球控股公司</t>
  </si>
  <si>
    <t>公共存儲公司</t>
  </si>
  <si>
    <t>伊頓公開有限公司</t>
  </si>
  <si>
    <t>達樂公司</t>
  </si>
  <si>
    <t>Host旅館及度假村公司</t>
  </si>
  <si>
    <t>數據狗公司</t>
  </si>
  <si>
    <t>CVS保健公司</t>
  </si>
  <si>
    <t>Xylem公司</t>
  </si>
  <si>
    <t>參數科技公司</t>
  </si>
  <si>
    <t>聯邦不動產投資信託</t>
  </si>
  <si>
    <t>芯源系統有限公司</t>
  </si>
  <si>
    <t>威士卡</t>
  </si>
  <si>
    <t>康卡斯特公司</t>
  </si>
  <si>
    <t>Jack Henry &amp; Associates公司</t>
  </si>
  <si>
    <t>Workday公司</t>
  </si>
  <si>
    <t>Veeva系統公司</t>
  </si>
  <si>
    <t>MSCI 明晟</t>
  </si>
  <si>
    <t>ServiceNow公司</t>
  </si>
  <si>
    <t>奧姆尼康集團</t>
  </si>
  <si>
    <t>Arthur J Gallagher &amp; Co</t>
  </si>
  <si>
    <t>Fair Isaac公司</t>
  </si>
  <si>
    <t>帕蘭提爾科技公司</t>
  </si>
  <si>
    <t>博通公司</t>
  </si>
  <si>
    <t>萊納房屋公司</t>
  </si>
  <si>
    <t>科迪華公司</t>
  </si>
  <si>
    <t>埃森哲有限公司</t>
  </si>
  <si>
    <t>露露檸檬公司</t>
  </si>
  <si>
    <t>Verisk Analytics Inc</t>
  </si>
  <si>
    <t>馬拉松石油公司</t>
  </si>
  <si>
    <t>富蘭克林資源公司</t>
  </si>
  <si>
    <t>金德摩根公司(德拉瓦州)</t>
  </si>
  <si>
    <t>雷神科技公司</t>
  </si>
  <si>
    <t>埃克森美孚公司</t>
  </si>
  <si>
    <t>奧的斯電梯公司</t>
  </si>
  <si>
    <t>希捷科技控股公開有限公司</t>
  </si>
  <si>
    <t>德州太平洋土地公司</t>
  </si>
  <si>
    <t>奇異維諾瓦公司</t>
  </si>
  <si>
    <t>星座能源公司</t>
  </si>
  <si>
    <t>Eversource能源</t>
  </si>
  <si>
    <t>亞馬遜公司</t>
  </si>
  <si>
    <t>Veralto公司</t>
  </si>
  <si>
    <t>蘋果公司</t>
  </si>
  <si>
    <t>鐵山公司</t>
  </si>
  <si>
    <t>丘奇及德懷特公司</t>
  </si>
  <si>
    <t>聯邦快遞公司</t>
  </si>
  <si>
    <t>安波福控股有限公司</t>
  </si>
  <si>
    <t>公民金融集團公司</t>
  </si>
  <si>
    <t>禮來公司</t>
  </si>
  <si>
    <t>肯膚優公司</t>
  </si>
  <si>
    <t>艾默生電氣</t>
  </si>
  <si>
    <t>林德公開有限公司</t>
  </si>
  <si>
    <t>美光科技公司</t>
  </si>
  <si>
    <t>卡夫亨氏公司</t>
  </si>
  <si>
    <t>邦吉全球有限責任公司</t>
  </si>
  <si>
    <t>寶僑公司</t>
  </si>
  <si>
    <t>徠博科控股公司</t>
  </si>
  <si>
    <t>金百利克拉克</t>
  </si>
  <si>
    <t>斯默菲特韋斯特洛克公開有限公司</t>
  </si>
  <si>
    <t>Raymond James Financial Inc</t>
  </si>
  <si>
    <t>羅威公司</t>
  </si>
  <si>
    <t>PNC金融服務集團</t>
  </si>
  <si>
    <t>貝萊德公司</t>
  </si>
  <si>
    <t>西斯柯公司</t>
  </si>
  <si>
    <t>曳引車供應公司</t>
  </si>
  <si>
    <t>亞德諾公司</t>
  </si>
  <si>
    <t>DTE能源公司</t>
  </si>
  <si>
    <t>TE Connectivity PLC</t>
  </si>
  <si>
    <t>諾信公司</t>
  </si>
  <si>
    <t>TKO Group Holdings Inc</t>
  </si>
  <si>
    <t>晟碟公司（德拉瓦州）</t>
  </si>
  <si>
    <t>啟諾迪電子公司</t>
  </si>
  <si>
    <t>派拉蒙天空之舞公司</t>
  </si>
  <si>
    <t>普洛斯</t>
  </si>
  <si>
    <t>TPG公司</t>
  </si>
  <si>
    <t>安柏</t>
  </si>
  <si>
    <t>廣達服務公司</t>
  </si>
  <si>
    <t>亞培</t>
  </si>
  <si>
    <t>Cadence設計系統公司</t>
  </si>
  <si>
    <t>超微半導體公司</t>
  </si>
  <si>
    <t>氣體產品與化學</t>
  </si>
  <si>
    <t>數位不動產信託公司</t>
  </si>
  <si>
    <t>漢威聯合國際公司</t>
  </si>
  <si>
    <t>科磊公司</t>
  </si>
  <si>
    <t>埃塞克斯不動產信託公司</t>
  </si>
  <si>
    <t>美國電力公司</t>
  </si>
  <si>
    <t>Archer-Daniels-Midland Co</t>
  </si>
  <si>
    <t>克羅格公司</t>
  </si>
  <si>
    <t>Atmos能源公司</t>
  </si>
  <si>
    <t>百特醫療產品有限公司</t>
  </si>
  <si>
    <t>碧迪醫療器械有限公司</t>
  </si>
  <si>
    <t>威爾塔公司</t>
  </si>
  <si>
    <t>威瑞森電信公司</t>
  </si>
  <si>
    <t>菲利浦莫里斯國際公司</t>
  </si>
  <si>
    <t>百思買公司</t>
  </si>
  <si>
    <t>拉斯維加斯金沙集團</t>
  </si>
  <si>
    <t>洛斯公司</t>
  </si>
  <si>
    <t>波士頓科學公司</t>
  </si>
  <si>
    <t>Arista網路公司</t>
  </si>
  <si>
    <t>通用磨坊公司</t>
  </si>
  <si>
    <t>永利度假村有限公司</t>
  </si>
  <si>
    <t>必治妥施貴寶公司</t>
  </si>
  <si>
    <t>金寶公司</t>
  </si>
  <si>
    <t>Centerpoint能源</t>
  </si>
  <si>
    <t>Bio-Techne Corp</t>
  </si>
  <si>
    <t>通用動力公司</t>
  </si>
  <si>
    <t>卡特彼勒公司</t>
  </si>
  <si>
    <t>哈里伯頓公司</t>
  </si>
  <si>
    <t>摩根大通銀行</t>
  </si>
  <si>
    <t>維斯達能源公司</t>
  </si>
  <si>
    <t>Revvity公司</t>
  </si>
  <si>
    <t>德克斯戶外用品公司</t>
  </si>
  <si>
    <t>共和服務公司</t>
  </si>
  <si>
    <t>HCA醫療保健公司</t>
  </si>
  <si>
    <t>雪佛龍公司</t>
  </si>
  <si>
    <t>高樂氏公司</t>
  </si>
  <si>
    <t>CMS能源</t>
  </si>
  <si>
    <t>查爾斯河實驗室國際公司</t>
  </si>
  <si>
    <t>英格索蘭公司</t>
  </si>
  <si>
    <t>霍梅爾食品</t>
  </si>
  <si>
    <t>可口可樂公司</t>
  </si>
  <si>
    <t>高露潔-棕欖公司</t>
  </si>
  <si>
    <t>陶氏</t>
  </si>
  <si>
    <t>康尼格拉品牌公司</t>
  </si>
  <si>
    <t>安朗杰有限公司</t>
  </si>
  <si>
    <t>康寧公司</t>
  </si>
  <si>
    <t>Roper科技公司</t>
  </si>
  <si>
    <t>利安德巴塞爾工業公司</t>
  </si>
  <si>
    <t>KRC臨時公司</t>
  </si>
  <si>
    <t>CSX Corp</t>
  </si>
  <si>
    <t>雷多斯控股公司</t>
  </si>
  <si>
    <t>莫德納公司</t>
  </si>
  <si>
    <t>Crowdstrike控股公司</t>
  </si>
  <si>
    <t>康明斯公司</t>
  </si>
  <si>
    <t>丹納赫集團</t>
  </si>
  <si>
    <t>迪爾</t>
  </si>
  <si>
    <t>快扣有限公司</t>
  </si>
  <si>
    <t>華特迪士尼公司</t>
  </si>
  <si>
    <t>多佛公司</t>
  </si>
  <si>
    <t>杜克能源公司</t>
  </si>
  <si>
    <t>捷邁邦美控股公司</t>
  </si>
  <si>
    <t>藝康集團</t>
  </si>
  <si>
    <t>嘉年華公司</t>
  </si>
  <si>
    <t>奇異公司</t>
  </si>
  <si>
    <t>依歐格資源</t>
  </si>
  <si>
    <t>麥科明克公司(馬里蘭州)</t>
  </si>
  <si>
    <t>福特汽車公司</t>
  </si>
  <si>
    <t>魯門特姆控股公司</t>
  </si>
  <si>
    <t>新紀元能源公司</t>
  </si>
  <si>
    <t>T-Mobile美國公司</t>
  </si>
  <si>
    <t>自由港麥克莫蘭銅金公司</t>
  </si>
  <si>
    <t>諾斯洛普格拉曼</t>
  </si>
  <si>
    <t>孩之寶公司</t>
  </si>
  <si>
    <t>L3哈里斯科技公司</t>
  </si>
  <si>
    <t>GoDaddy公司</t>
  </si>
  <si>
    <t>安特吉公司</t>
  </si>
  <si>
    <t>好時公司</t>
  </si>
  <si>
    <t>惠普公司</t>
  </si>
  <si>
    <t>菲利普66</t>
  </si>
  <si>
    <t>家得寶公司</t>
  </si>
  <si>
    <t>哈門那公司</t>
  </si>
  <si>
    <t>IDEX公司</t>
  </si>
  <si>
    <t>國際商業機器公司</t>
  </si>
  <si>
    <t>沃特斯公司</t>
  </si>
  <si>
    <t>信諾集團</t>
  </si>
  <si>
    <t>國際香料香精</t>
  </si>
  <si>
    <t>格雷杰公司</t>
  </si>
  <si>
    <t>嬌生公司</t>
  </si>
  <si>
    <t>Lennox International Inc</t>
  </si>
  <si>
    <t>馬什麥克倫南集團公司</t>
  </si>
  <si>
    <t>Regency Centers公司</t>
  </si>
  <si>
    <t>高知特科技公司</t>
  </si>
  <si>
    <t>伊利諾工具公司</t>
  </si>
  <si>
    <t>馬斯可</t>
  </si>
  <si>
    <t>麥當勞公司</t>
  </si>
  <si>
    <t>美敦力公司</t>
  </si>
  <si>
    <t>美高梅度假村國際</t>
  </si>
  <si>
    <t>紐蒙特公司</t>
  </si>
  <si>
    <t>美國銀行</t>
  </si>
  <si>
    <t>name</t>
    <phoneticPr fontId="2" type="noConversion"/>
  </si>
  <si>
    <t>weights</t>
    <phoneticPr fontId="2" type="noConversion"/>
  </si>
  <si>
    <t>GICS_Sector</t>
    <phoneticPr fontId="2" type="noConversion"/>
  </si>
  <si>
    <t>YTD%</t>
    <phoneticPr fontId="2" type="noConversion"/>
  </si>
  <si>
    <t>URCG%</t>
    <phoneticPr fontId="2" type="noConversion"/>
  </si>
  <si>
    <t>Benchmark SPY US Equity YTD Rrturn</t>
    <phoneticPr fontId="2" type="noConversion"/>
  </si>
  <si>
    <t xml:space="preserve">  1. Modified Dietz vs 額度報酬的差異</t>
  </si>
  <si>
    <t xml:space="preserve">  ┌──────────────┬─────────────────────────────────────┬─────────┬──────────────────────────────────────┐</t>
  </si>
  <si>
    <t xml:space="preserve">  │     口徑     │                公式                 │  數值   │                 用途                 │</t>
  </si>
  <si>
    <t xml:space="preserve">  ├──────────────┼─────────────────────────────────────┼─────────┼──────────────────────────────────────┤</t>
  </si>
  <si>
    <t xml:space="preserve">  │ 額度報酬     │ 總P&amp;L / 額度 (665M)                 │ +46.55% │ 「分到的子彈用了多少賺到」資源使用率 │</t>
  </si>
  <si>
    <t xml:space="preserve">  │ 簡單法       │ 總P&amp;L / 期末庫存cost (668M)         │ +46.34% │ 「平均運用資金 ROI」                 │</t>
  </si>
  <si>
    <t xml:space="preserve">  │ Modified     │ (V_end−V_start−ΣCF) /               │ +47.09% │ 「TWRR」與 SPY 同口徑比較            │</t>
  </si>
  <si>
    <t xml:space="preserve">  │ Dietz        │ (V_start+Σwi·CFi)                   │         │                                      │</t>
  </si>
  <si>
    <t xml:space="preserve">  └──────────────┴─────────────────────────────────────┴─────────┴──────────────────────────────────────┘</t>
  </si>
  <si>
    <t xml:space="preserve">  差異來源：</t>
  </si>
  <si>
    <t xml:space="preserve">  - 額度法分母固定 (665M)，反映核給資金的回報率</t>
  </si>
  <si>
    <t xml:space="preserve">  - MD 法分母是「時間加權平均運用資金」：期間 1 月就部署了 631M，期末 cost</t>
  </si>
  <si>
    <t xml:space="preserve">  668M。因為大部分資金期初就投入，時間加權分母小於期末 cost，所以 MD 報酬略高</t>
  </si>
  <si>
    <t xml:space="preserve">  - MD 是業界比較績效的標準，因為它扣除「資金何時進來」的影響；額度法則受期初／期末資金部署節奏扭曲</t>
  </si>
  <si>
    <t xml:space="preserve">  ---</t>
  </si>
  <si>
    <t xml:space="preserve">  2. Active Share 73.3%</t>
  </si>
  <si>
    <t xml:space="preserve">  公式：Active Share = ½ × Σ |w_port,i − w_SPY,i|</t>
  </si>
  <si>
    <t xml:space="preserve">  - 0% = 完全複製指數，100% = 跟指數毫無重疊</t>
  </si>
  <si>
    <t xml:space="preserve">  - 73.3% = 組合裡有 73.3% 的權重是跟 SPY 不同的部位 (超配/低配/沒持/Off-Bench)，剩下 26.7% 是跟 SPY</t>
  </si>
  <si>
    <t xml:space="preserve">  同股同權的「中性部位」</t>
  </si>
  <si>
    <t xml:space="preserve">  - 業界經驗：&lt; 60% 為 "closet indexer"，&gt; 60% 才有 alpha 潛力，&gt; 80% 為高度主動 (Cremers &amp; Petajisto, 2009)</t>
  </si>
  <si>
    <t xml:space="preserve">  - 73.3% 屬於「真主動管理」</t>
  </si>
  <si>
    <t xml:space="preserve">  3. 有效持股數 18.3</t>
  </si>
  <si>
    <t xml:space="preserve">  公式：N_effective = 1 / Σ(w_i²)</t>
  </si>
  <si>
    <t xml:space="preserve">  - 等權 N 檔 → N_effective = N</t>
  </si>
  <si>
    <t xml:space="preserve">  - 集中度高 → N_effective 遠小於實際檔數</t>
  </si>
  <si>
    <t xml:space="preserve">  - 名義上有 29 檔，但因 SNDK 13%、MU 7.8% 拉高集中，實質分散效果只相當於 18.3 檔等權持有</t>
  </si>
  <si>
    <t xml:space="preserve">  - SPY 約 503 檔但因 Mag7 集中，有效持股數約 60-80 檔</t>
  </si>
  <si>
    <t xml:space="preserve">  4. 月度交易節奏 X 軸 (已修)</t>
  </si>
  <si>
    <t xml:space="preserve">  原因：plotly 把字串 "2026-01" 自動解析為日期，產生不正確的 tick。已加 xaxis=dict(type='category')</t>
  </si>
  <si>
    <t xml:space="preserve">  強制當作類別處理。</t>
  </si>
  <si>
    <t xml:space="preserve">  5. 產業曝險圖數值被切斷 (已修)</t>
  </si>
  <si>
    <t xml:space="preserve">  textposition='outside' 把 label 畫在 bar 外，但 axis range 沒留 padding。已加：</t>
  </si>
  <si>
    <t xml:space="preserve">  - cliponaxis=False 防止 label 被 axis 裁切</t>
  </si>
  <si>
    <t xml:space="preserve">  - 明確設定 xaxis_range 給 label 留空間 (左圖 max×1.15、右圖兩端各 padding)</t>
  </si>
  <si>
    <t xml:space="preserve">  - 也順手把 Top 15 持股、Top/Bottom P&amp;L、SPY 百分位等同樣有 outside label 的圖一併修</t>
  </si>
  <si>
    <t xml:space="preserve">  6. Interaction / Closed-Only / Reconstitution Drift</t>
  </si>
  <si>
    <t xml:space="preserve">  (a) Interaction Effect = (wP − wB)(rP − rB)</t>
  </si>
  <si>
    <t xml:space="preserve">  「超配某 sector」AND「該 sector 內又選對個股」的乘積協同效果。</t>
  </si>
  <si>
    <t xml:space="preserve">  以 IT 為例：wP=58%、wB=37% (超配 21%)、rP=71%、rB=34% (跑贏 37%)</t>
  </si>
  <si>
    <t xml:space="preserve">  - Interaction = 21% × 37% = +7.87%</t>
  </si>
  <si>
    <t xml:space="preserve">  - 解讀：你既選對產業 (Allocation)、又在裡面選對股 (Selection)，所以 IT 對 active 的貢獻被「放大」</t>
  </si>
  <si>
    <t xml:space="preserve">  - 是 conviction 配置 + 選股能力共振的指標</t>
  </si>
  <si>
    <t xml:space="preserve">  (b) Closed-Only Residual (+0.65%)</t>
  </si>
  <si>
    <t xml:space="preserve">  已平倉但仍有 P&amp;L 的 sector：在當前持股表上找不到 (wP=0)，但 P&amp;L 確實存在 (RCG≠0)，無法進入標準 Brinson</t>
  </si>
  <si>
    <t xml:space="preserve">  公式。例如：</t>
  </si>
  <si>
    <t xml:space="preserve">  - Costco 期內買賣完畢，賺 $4M → 歸入 Consumer Staples</t>
  </si>
  <si>
    <t xml:space="preserve">  - HC 部位 (SOLV、RMD、BMY) 賺 $0.3M</t>
  </si>
  <si>
    <t xml:space="preserve">  把這 4.4M 加總 / total_cost = +0.65%，獨立列為殘差行。</t>
  </si>
  <si>
    <t xml:space="preserve">  (c) Reconstitution Drift (+8.52%)</t>
  </si>
  <si>
    <t xml:space="preserve">  - 期末 SPY 成分股 cap-weighted Σ(w·YTD%) = +17.23%</t>
  </si>
  <si>
    <t xml:space="preserve">  - 實際 SPY 指數 YTD = +8.71% (Bloomberg)</t>
  </si>
  <si>
    <t xml:space="preserve">  - 差距 8.52% = 期間 SPY 成分股增刪造成的偏差</t>
  </si>
  <si>
    <t xml:space="preserve">  - 為什麼差這麼大：可能新加入 SPY 的成分股 (剛 IPO 或從中型升 large-cap) 有強勁</t>
  </si>
  <si>
    <t xml:space="preserve">  YTD%；退出的成分股表現弱沒被算入；free float 重訂等</t>
  </si>
  <si>
    <t xml:space="preserve">  因此 r_b_total 用實際 SPY、各 sector r_b 用 cap-weighted (沒歷史成分股資料無法更精細)、差額作 Drift 列出 —</t>
  </si>
  <si>
    <t xml:space="preserve">   這樣 Brinson 數值仍可用，且對帳清晰。</t>
  </si>
  <si>
    <t xml:space="preserve">  7. Energy 沒持股為何有 Selection?</t>
  </si>
  <si>
    <t xml:space="preserve">  這是 Brinson 公式對「沒持股 sector」必然產生的數學殘餘，並非真的有選股決策。</t>
  </si>
  <si>
    <t xml:space="preserve">  Energy 數字：wP=0、wB=3.35%、rP=0、rB=+30.67%</t>
  </si>
  <si>
    <t xml:space="preserve">  Allocation  = (0 − 3.35%) × (30.67% − 8.71%) = -0.736%  ← 沒配置一個贏大盤的 sector 的損失</t>
  </si>
  <si>
    <t xml:space="preserve">  已平倉但仍有 P&amp;L 的 sector：在當前持股表上找不到 (wP=0)，但 P&amp;L 確實存在 (RCG≠0)，無法進入標準 Brinson 公式。例如：</t>
  </si>
  <si>
    <t xml:space="preserve">  - 為什麼差這麼大：可能新加入 SPY 的成分股 (剛 IPO 或從中型升 large-cap) 有強勁 YTD%；退出的成分股表現弱沒被算入；free float 重訂等</t>
  </si>
  <si>
    <t xml:space="preserve">  因此 r_b_total 用實際 SPY、各 sector r_b 用 cap-weighted (沒歷史成分股資料無法更精細)、差額作 Drift 列出 — 這樣 Brinson 數值仍可用，且對帳清晰。</t>
  </si>
  <si>
    <t xml:space="preserve">  Selection   = 3.35% × (0 − 30.67%)            = -1.027%  ← 「若 wP=wB 但 rP=0」的數學殘餘</t>
  </si>
  <si>
    <t xml:space="preserve">  Interaction = (0 − 3.35%) × (0 − 30.67%)      = +1.027%  ← 兩負相乘變正, 抵銷部分 Selection</t>
  </si>
  <si>
    <t xml:space="preserve">  Total Active(Energy) = -0.736%</t>
  </si>
  <si>
    <t xml:space="preserve">  直覺：實際上「沒持 Energy 的真實成本」= 0 − 3.35%×30.67% = −1.027%。Brinson 公式把這 −1.027% 拆成 Allocation+Selection+Interaction 三項，但對沒持 sector 來說 Selection</t>
  </si>
  <si>
    <t xml:space="preserve">  並沒有「選股」的含義 — 它只是公式為了維持加總等式的數學項。</t>
  </si>
  <si>
    <t xml:space="preserve">  兩種規約：</t>
  </si>
  <si>
    <t xml:space="preserve">  - (A) 保留標準公式 (我目前)，三項加總正確、但 Energy Selection -1.0% 不要解讀為「Energy 選股能力差」</t>
  </si>
  <si>
    <t xml:space="preserve">  - (B) 強制 wP=0 時 sel=int=0，把整個效應歸 Allocation</t>
  </si>
  <si>
    <t xml:space="preserve">  A 較通用且跟 IT 等有持 sector 解讀一致。沒持的 sector，看 Total Active 那一欄即可，不要單看 Selection。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</si>
</sst>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#,##0_ ;[Red]\-#,##0\ "/>
    <numFmt numFmtId="177" formatCode="#,##0.00%;[Red]\-#,##0.00%"/>
    <numFmt numFmtId="178" formatCode="#,##0.00000"/>
  </numFmts>
  <fonts count="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Microsoft JhengHei"/>
      <family val="2"/>
    </font>
    <font>
      <sz val="8"/>
      <color rgb="FF000000"/>
      <name val="Tahoma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0" borderId="0" xfId="1" applyNumberFormat="1" applyFont="1">
      <alignment vertical="center"/>
    </xf>
    <xf numFmtId="177" fontId="3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0" fontId="4" fillId="0" borderId="0" xfId="0" applyFont="1">
      <alignment vertical="center"/>
    </xf>
    <xf numFmtId="176" fontId="3" fillId="0" borderId="0" xfId="1" applyNumberFormat="1" applyFont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readingOrder="1"/>
    </xf>
    <xf numFmtId="0" fontId="0" fillId="0" borderId="0" xfId="0" applyAlignment="1"/>
    <xf numFmtId="49" fontId="6" fillId="3" borderId="1" xfId="0" applyNumberFormat="1" applyFont="1" applyFill="1" applyBorder="1" applyAlignment="1">
      <alignment horizontal="left" vertical="center" readingOrder="1"/>
    </xf>
    <xf numFmtId="3" fontId="6" fillId="3" borderId="1" xfId="0" applyNumberFormat="1" applyFont="1" applyFill="1" applyBorder="1" applyAlignment="1">
      <alignment horizontal="right" vertical="center" readingOrder="1"/>
    </xf>
    <xf numFmtId="178" fontId="6" fillId="3" borderId="1" xfId="0" applyNumberFormat="1" applyFont="1" applyFill="1" applyBorder="1" applyAlignment="1">
      <alignment horizontal="right" vertical="center" readingOrder="1"/>
    </xf>
    <xf numFmtId="4" fontId="6" fillId="3" borderId="1" xfId="0" applyNumberFormat="1" applyFont="1" applyFill="1" applyBorder="1" applyAlignment="1">
      <alignment horizontal="right" vertical="center" readingOrder="1"/>
    </xf>
    <xf numFmtId="177" fontId="3" fillId="4" borderId="0" xfId="0" applyNumberFormat="1" applyFont="1" applyFill="1">
      <alignment vertical="center"/>
    </xf>
    <xf numFmtId="0" fontId="3" fillId="4" borderId="0" xfId="0" applyFont="1" applyFill="1" applyAlignment="1">
      <alignment horizontal="center" vertical="center"/>
    </xf>
    <xf numFmtId="0" fontId="3" fillId="4" borderId="0" xfId="0" quotePrefix="1" applyFont="1" applyFill="1">
      <alignment vertical="center"/>
    </xf>
    <xf numFmtId="0" fontId="3" fillId="4" borderId="0" xfId="0" applyFont="1" applyFill="1">
      <alignment vertical="center"/>
    </xf>
    <xf numFmtId="10" fontId="3" fillId="4" borderId="0" xfId="2" applyNumberFormat="1" applyFont="1" applyFill="1">
      <alignment vertical="center"/>
    </xf>
    <xf numFmtId="14" fontId="3" fillId="4" borderId="0" xfId="0" applyNumberFormat="1" applyFont="1" applyFill="1">
      <alignment vertical="center"/>
    </xf>
    <xf numFmtId="0" fontId="3" fillId="4" borderId="0" xfId="0" applyFont="1" applyFill="1" applyAlignment="1">
      <alignment horizontal="left" vertical="center"/>
    </xf>
    <xf numFmtId="10" fontId="3" fillId="4" borderId="0" xfId="0" applyNumberFormat="1" applyFont="1" applyFill="1">
      <alignment vertical="center"/>
    </xf>
  </cellXfs>
  <cellStyles count="3">
    <cellStyle name="一般" xfId="0" builtinId="0"/>
    <cellStyle name="千分位" xfId="1" builtinId="3"/>
    <cellStyle name="百分比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C7EDCC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FC1C0-ABAD-41FC-93F4-AEA024635642}">
  <dimension ref="A1:Q57"/>
  <sheetViews>
    <sheetView workbookViewId="0">
      <pane xSplit="1" ySplit="4" topLeftCell="B5" activePane="bottomRight" state="frozen"/>
      <selection pane="topRight" activeCell="B1" sqref="B1"/>
      <selection pane="bottomLeft" activeCell="A2" sqref="A2"/>
      <selection pane="bottomRight" activeCell="I16" sqref="I16"/>
    </sheetView>
  </sheetViews>
  <sheetFormatPr defaultRowHeight="15.75"/>
  <cols>
    <col min="1" max="1" width="15.25" style="1" bestFit="1" customWidth="1"/>
    <col min="2" max="2" width="36" style="2" bestFit="1" customWidth="1"/>
    <col min="3" max="4" width="20.875" style="2" customWidth="1"/>
    <col min="5" max="5" width="15.625" style="2" customWidth="1"/>
    <col min="6" max="6" width="12.875" style="3" customWidth="1"/>
    <col min="7" max="8" width="15.625" style="2" hidden="1" customWidth="1"/>
    <col min="9" max="9" width="15.625" style="2" bestFit="1" customWidth="1"/>
    <col min="10" max="12" width="11.625" style="3" bestFit="1" customWidth="1"/>
    <col min="13" max="13" width="12.875" style="3" customWidth="1"/>
    <col min="14" max="16" width="15.875" style="3" customWidth="1"/>
    <col min="17" max="17" width="16.375" style="3" bestFit="1" customWidth="1"/>
    <col min="18" max="18" width="12.5" style="1" bestFit="1" customWidth="1"/>
    <col min="19" max="16384" width="9" style="1"/>
  </cols>
  <sheetData>
    <row r="1" spans="1:14">
      <c r="A1" s="1" t="s">
        <v>117</v>
      </c>
      <c r="B1" s="6">
        <v>665</v>
      </c>
      <c r="C1" s="2" t="s">
        <v>125</v>
      </c>
      <c r="D1" s="2" t="s">
        <v>126</v>
      </c>
      <c r="I1" s="2" t="s">
        <v>127</v>
      </c>
      <c r="J1" s="3" t="s">
        <v>128</v>
      </c>
      <c r="L1" s="3" t="s">
        <v>181</v>
      </c>
      <c r="M1" s="3" t="s">
        <v>732</v>
      </c>
    </row>
    <row r="2" spans="1:14">
      <c r="B2" s="6"/>
      <c r="C2" s="2">
        <f>SUM(C5:C57)</f>
        <v>668046428.69000006</v>
      </c>
      <c r="D2" s="2">
        <f>SUM(D5:D57)</f>
        <v>988142505.52999997</v>
      </c>
      <c r="I2" s="2">
        <f>SUM(I5:I57)</f>
        <v>309548071.46999902</v>
      </c>
      <c r="J2" s="3">
        <f>I2/(B1*1000000)</f>
        <v>0.46548582175939701</v>
      </c>
      <c r="L2" s="3">
        <f>SUM(L5:L57)</f>
        <v>0.40517609169038715</v>
      </c>
      <c r="M2" s="3" cm="1">
        <f t="array" ref="M2">(SUM(ABS(M5:M33))+(1-L2))/2</f>
        <v>0.73313705741167567</v>
      </c>
    </row>
    <row r="3" spans="1:14">
      <c r="A3" s="5" t="s">
        <v>51</v>
      </c>
      <c r="B3" s="2" t="s">
        <v>52</v>
      </c>
      <c r="C3" s="2" t="s">
        <v>120</v>
      </c>
      <c r="D3" s="2" t="s">
        <v>116</v>
      </c>
      <c r="E3" s="2" t="s">
        <v>119</v>
      </c>
      <c r="F3" s="3" t="s">
        <v>1251</v>
      </c>
      <c r="G3" s="2" t="s">
        <v>121</v>
      </c>
      <c r="H3" s="2" t="s">
        <v>122</v>
      </c>
      <c r="I3" s="2" t="s">
        <v>123</v>
      </c>
      <c r="J3" s="3" t="s">
        <v>118</v>
      </c>
      <c r="K3" s="3" t="s">
        <v>124</v>
      </c>
      <c r="L3" s="3" t="s">
        <v>181</v>
      </c>
      <c r="M3" s="3" t="s">
        <v>182</v>
      </c>
    </row>
    <row r="4" spans="1:14" hidden="1">
      <c r="A4" s="1" t="s">
        <v>0</v>
      </c>
      <c r="B4" s="2" t="s">
        <v>1</v>
      </c>
      <c r="C4" s="2" t="s">
        <v>2</v>
      </c>
      <c r="D4" s="2" t="s">
        <v>115</v>
      </c>
      <c r="E4" s="2" t="s">
        <v>3</v>
      </c>
      <c r="G4" s="2" t="s">
        <v>4</v>
      </c>
      <c r="H4" s="2" t="s">
        <v>5</v>
      </c>
      <c r="I4" s="2" t="s">
        <v>6</v>
      </c>
    </row>
    <row r="5" spans="1:14">
      <c r="A5" s="1" t="s">
        <v>41</v>
      </c>
      <c r="B5" s="2" t="s">
        <v>42</v>
      </c>
      <c r="C5" s="2">
        <v>26271349.59</v>
      </c>
      <c r="D5" s="2">
        <v>129612934.08</v>
      </c>
      <c r="E5" s="2">
        <v>103341584.489999</v>
      </c>
      <c r="F5" s="3">
        <f>E5/C5</f>
        <v>3.9336229810338796</v>
      </c>
      <c r="G5" s="2">
        <v>0</v>
      </c>
      <c r="H5" s="2">
        <v>0</v>
      </c>
      <c r="I5" s="2">
        <v>103341584.489999</v>
      </c>
      <c r="J5" s="3">
        <f t="shared" ref="J5:J36" si="0">I5/($B$1*1000000)</f>
        <v>0.15540087893232932</v>
      </c>
      <c r="K5" s="3">
        <f t="shared" ref="K5:K36" si="1">D5/$D$2</f>
        <v>0.13116826100956039</v>
      </c>
      <c r="L5" s="3">
        <v>3.1458114645637636E-2</v>
      </c>
      <c r="M5" s="3">
        <f>K5-L5</f>
        <v>9.9710146363922753E-2</v>
      </c>
    </row>
    <row r="6" spans="1:14">
      <c r="A6" s="1" t="s">
        <v>33</v>
      </c>
      <c r="B6" s="2" t="s">
        <v>34</v>
      </c>
      <c r="C6" s="2">
        <v>34858894.969999999</v>
      </c>
      <c r="D6" s="2">
        <v>76741183.700000003</v>
      </c>
      <c r="E6" s="2">
        <v>41882288.729999997</v>
      </c>
      <c r="F6" s="3">
        <f t="shared" ref="F6:F33" si="2">E6/C6</f>
        <v>1.2014806770565853</v>
      </c>
      <c r="G6" s="2">
        <v>3195203.49</v>
      </c>
      <c r="H6" s="2">
        <v>20255.37</v>
      </c>
      <c r="I6" s="2">
        <v>45097747.590000004</v>
      </c>
      <c r="J6" s="3">
        <f t="shared" si="0"/>
        <v>6.7816161789473695E-2</v>
      </c>
      <c r="K6" s="3">
        <f t="shared" si="1"/>
        <v>7.7662061160742313E-2</v>
      </c>
      <c r="L6" s="3">
        <v>1.2921290930696359E-2</v>
      </c>
      <c r="M6" s="3">
        <f t="shared" ref="M6:M33" si="3">K6-L6</f>
        <v>6.4740770230045958E-2</v>
      </c>
    </row>
    <row r="7" spans="1:14">
      <c r="A7" s="1" t="s">
        <v>63</v>
      </c>
      <c r="B7" s="2" t="s">
        <v>64</v>
      </c>
      <c r="C7" s="2">
        <v>40695983.490000002</v>
      </c>
      <c r="D7" s="2">
        <v>71493786</v>
      </c>
      <c r="E7" s="2">
        <v>30797802.510000002</v>
      </c>
      <c r="F7" s="3">
        <f t="shared" si="2"/>
        <v>0.75677744752299136</v>
      </c>
      <c r="G7" s="2">
        <v>0</v>
      </c>
      <c r="H7" s="2">
        <v>0</v>
      </c>
      <c r="I7" s="2">
        <v>30797802.510000002</v>
      </c>
      <c r="J7" s="3">
        <f t="shared" si="0"/>
        <v>4.6312484977443613E-2</v>
      </c>
      <c r="K7" s="3">
        <f t="shared" si="1"/>
        <v>7.2351695833237736E-2</v>
      </c>
      <c r="L7" s="3">
        <v>1.0547300217052325E-3</v>
      </c>
      <c r="M7" s="3">
        <f t="shared" si="3"/>
        <v>7.1296965811532498E-2</v>
      </c>
    </row>
    <row r="8" spans="1:14">
      <c r="A8" s="1" t="s">
        <v>49</v>
      </c>
      <c r="B8" s="2" t="s">
        <v>50</v>
      </c>
      <c r="C8" s="2">
        <v>26277395.699999999</v>
      </c>
      <c r="D8" s="2">
        <v>63327849.259999998</v>
      </c>
      <c r="E8" s="2">
        <v>37050453.560000002</v>
      </c>
      <c r="F8" s="3">
        <f t="shared" si="2"/>
        <v>1.4099743362315011</v>
      </c>
      <c r="G8" s="2">
        <v>0</v>
      </c>
      <c r="H8" s="2">
        <v>13528.88</v>
      </c>
      <c r="I8" s="2">
        <v>37063982.439999998</v>
      </c>
      <c r="J8" s="3">
        <f t="shared" si="0"/>
        <v>5.5735311939849617E-2</v>
      </c>
      <c r="K8" s="3">
        <f t="shared" si="1"/>
        <v>6.4087769634030151E-2</v>
      </c>
      <c r="L8" s="3">
        <v>2.4428024669431322E-3</v>
      </c>
      <c r="M8" s="3">
        <f t="shared" si="3"/>
        <v>6.164496716708702E-2</v>
      </c>
    </row>
    <row r="9" spans="1:14">
      <c r="A9" s="1" t="s">
        <v>45</v>
      </c>
      <c r="B9" s="2" t="s">
        <v>46</v>
      </c>
      <c r="C9" s="2">
        <v>50120789.609999999</v>
      </c>
      <c r="D9" s="2">
        <v>61677047.200000003</v>
      </c>
      <c r="E9" s="2">
        <v>11556257.59</v>
      </c>
      <c r="F9" s="3">
        <f t="shared" si="2"/>
        <v>0.23056814706874287</v>
      </c>
      <c r="G9" s="2">
        <v>0</v>
      </c>
      <c r="H9" s="2">
        <v>34838.31</v>
      </c>
      <c r="I9" s="2">
        <v>11591095.9</v>
      </c>
      <c r="J9" s="3">
        <f t="shared" si="0"/>
        <v>1.743021939849624E-2</v>
      </c>
      <c r="K9" s="3">
        <f t="shared" si="1"/>
        <v>6.2417158309487873E-2</v>
      </c>
      <c r="L9" s="3">
        <v>8.4890919994683222E-4</v>
      </c>
      <c r="M9" s="3">
        <f t="shared" si="3"/>
        <v>6.1568249109541041E-2</v>
      </c>
    </row>
    <row r="10" spans="1:14">
      <c r="A10" s="1" t="s">
        <v>27</v>
      </c>
      <c r="B10" s="2" t="s">
        <v>28</v>
      </c>
      <c r="C10" s="2">
        <v>42694130.479999997</v>
      </c>
      <c r="D10" s="2">
        <v>55101885</v>
      </c>
      <c r="E10" s="2">
        <v>12407754.52</v>
      </c>
      <c r="F10" s="3">
        <f t="shared" si="2"/>
        <v>0.29061967957896212</v>
      </c>
      <c r="G10" s="2">
        <v>0</v>
      </c>
      <c r="H10" s="2">
        <v>0</v>
      </c>
      <c r="I10" s="2">
        <v>12407754.52</v>
      </c>
      <c r="J10" s="3">
        <f t="shared" si="0"/>
        <v>1.8658277473684211E-2</v>
      </c>
      <c r="K10" s="3">
        <f t="shared" si="1"/>
        <v>5.5763095597679571E-2</v>
      </c>
      <c r="L10" s="3">
        <v>9.7312397302122859E-4</v>
      </c>
      <c r="M10" s="3">
        <f t="shared" si="3"/>
        <v>5.4789971624658346E-2</v>
      </c>
    </row>
    <row r="11" spans="1:14">
      <c r="A11" s="1" t="s">
        <v>17</v>
      </c>
      <c r="B11" s="2" t="s">
        <v>18</v>
      </c>
      <c r="C11" s="2">
        <v>26470393.359999999</v>
      </c>
      <c r="D11" s="2">
        <v>49624458.380000003</v>
      </c>
      <c r="E11" s="2">
        <v>23154065.02</v>
      </c>
      <c r="F11" s="3">
        <f t="shared" si="2"/>
        <v>0.87471556259487337</v>
      </c>
      <c r="G11" s="2">
        <v>0</v>
      </c>
      <c r="H11" s="2">
        <v>0</v>
      </c>
      <c r="I11" s="2">
        <v>23154065.02</v>
      </c>
      <c r="J11" s="3">
        <f t="shared" si="0"/>
        <v>3.4818142887218045E-2</v>
      </c>
      <c r="K11" s="3">
        <f t="shared" si="1"/>
        <v>5.0219941053323516E-2</v>
      </c>
      <c r="L11" s="3">
        <v>1.2240035185755974E-3</v>
      </c>
      <c r="M11" s="3">
        <f t="shared" si="3"/>
        <v>4.8995937534747916E-2</v>
      </c>
    </row>
    <row r="12" spans="1:14">
      <c r="A12" s="1" t="s">
        <v>13</v>
      </c>
      <c r="B12" s="2" t="s">
        <v>14</v>
      </c>
      <c r="C12" s="2">
        <v>42052549.670000002</v>
      </c>
      <c r="D12" s="2">
        <v>47403985.719999999</v>
      </c>
      <c r="E12" s="2">
        <v>5351436.05</v>
      </c>
      <c r="F12" s="3">
        <f t="shared" si="2"/>
        <v>0.12725592364778007</v>
      </c>
      <c r="G12" s="2">
        <v>52295.33</v>
      </c>
      <c r="H12" s="2">
        <v>84950.06</v>
      </c>
      <c r="I12" s="2">
        <v>5488681.4400000004</v>
      </c>
      <c r="J12" s="3">
        <f t="shared" si="0"/>
        <v>8.2536563007518798E-3</v>
      </c>
      <c r="K12" s="3">
        <f t="shared" si="1"/>
        <v>4.7972823205873941E-2</v>
      </c>
      <c r="L12" s="3">
        <v>6.9604987229383283E-2</v>
      </c>
      <c r="M12" s="3">
        <f t="shared" si="3"/>
        <v>-2.1632164023509343E-2</v>
      </c>
    </row>
    <row r="13" spans="1:14">
      <c r="A13" s="1" t="s">
        <v>37</v>
      </c>
      <c r="B13" s="2" t="s">
        <v>38</v>
      </c>
      <c r="C13" s="2">
        <v>29888273.030000001</v>
      </c>
      <c r="D13" s="2">
        <v>34611019.740000002</v>
      </c>
      <c r="E13" s="2">
        <v>4722746.71</v>
      </c>
      <c r="F13" s="3">
        <f t="shared" si="2"/>
        <v>0.1580133688306313</v>
      </c>
      <c r="G13" s="2">
        <v>292480.15999999997</v>
      </c>
      <c r="H13" s="2">
        <v>1821.34</v>
      </c>
      <c r="I13" s="2">
        <v>5017048.21</v>
      </c>
      <c r="J13" s="3">
        <f t="shared" si="0"/>
        <v>7.5444333984962409E-3</v>
      </c>
      <c r="K13" s="3">
        <f t="shared" si="1"/>
        <v>3.5026344425327642E-2</v>
      </c>
      <c r="L13" s="3">
        <v>8.5180785293879624E-2</v>
      </c>
      <c r="M13" s="3">
        <f t="shared" si="3"/>
        <v>-5.0154440868551982E-2</v>
      </c>
      <c r="N13" s="4"/>
    </row>
    <row r="14" spans="1:14">
      <c r="A14" s="1" t="s">
        <v>39</v>
      </c>
      <c r="B14" s="2" t="s">
        <v>40</v>
      </c>
      <c r="C14" s="2">
        <v>20442650.489999998</v>
      </c>
      <c r="D14" s="2">
        <v>33662509.049999997</v>
      </c>
      <c r="E14" s="2">
        <v>13219858.560000001</v>
      </c>
      <c r="F14" s="3">
        <f t="shared" si="2"/>
        <v>0.6466802612736936</v>
      </c>
      <c r="G14" s="2">
        <v>2048330.84</v>
      </c>
      <c r="H14" s="2">
        <v>8041.55</v>
      </c>
      <c r="I14" s="2">
        <v>15276230.949999999</v>
      </c>
      <c r="J14" s="3">
        <f t="shared" si="0"/>
        <v>2.2971775864661655E-2</v>
      </c>
      <c r="K14" s="3">
        <f t="shared" si="1"/>
        <v>3.4066451813996985E-2</v>
      </c>
      <c r="L14" s="3">
        <v>1.6588305801223016E-3</v>
      </c>
      <c r="M14" s="3">
        <f t="shared" si="3"/>
        <v>3.2407621233874681E-2</v>
      </c>
      <c r="N14" s="4"/>
    </row>
    <row r="15" spans="1:14">
      <c r="A15" s="1" t="s">
        <v>29</v>
      </c>
      <c r="B15" s="2" t="s">
        <v>30</v>
      </c>
      <c r="C15" s="2">
        <v>20105986.5</v>
      </c>
      <c r="D15" s="2">
        <v>28497285.670000002</v>
      </c>
      <c r="E15" s="2">
        <v>8391299.1699999999</v>
      </c>
      <c r="F15" s="3">
        <f t="shared" si="2"/>
        <v>0.41735326789361965</v>
      </c>
      <c r="G15" s="2">
        <v>0</v>
      </c>
      <c r="H15" s="2">
        <v>0</v>
      </c>
      <c r="I15" s="2">
        <v>8391299.1699999999</v>
      </c>
      <c r="J15" s="3">
        <f t="shared" si="0"/>
        <v>1.2618494992481202E-2</v>
      </c>
      <c r="K15" s="3">
        <f t="shared" si="1"/>
        <v>2.883924688040335E-2</v>
      </c>
      <c r="L15" s="3">
        <v>0</v>
      </c>
      <c r="M15" s="3">
        <f t="shared" si="3"/>
        <v>2.883924688040335E-2</v>
      </c>
    </row>
    <row r="16" spans="1:14">
      <c r="A16" s="1" t="s">
        <v>77</v>
      </c>
      <c r="B16" s="2" t="s">
        <v>78</v>
      </c>
      <c r="C16" s="2">
        <v>15599743.560000001</v>
      </c>
      <c r="D16" s="2">
        <v>27928754.640000001</v>
      </c>
      <c r="E16" s="2">
        <v>12329011.08</v>
      </c>
      <c r="F16" s="3">
        <f t="shared" si="2"/>
        <v>0.79033421495551814</v>
      </c>
      <c r="G16" s="2">
        <v>0</v>
      </c>
      <c r="H16" s="2">
        <v>0</v>
      </c>
      <c r="I16" s="2">
        <v>12329011.08</v>
      </c>
      <c r="J16" s="3">
        <f t="shared" si="0"/>
        <v>1.8539866285714284E-2</v>
      </c>
      <c r="K16" s="3">
        <f t="shared" si="1"/>
        <v>2.826389360208742E-2</v>
      </c>
      <c r="L16" s="3">
        <v>0</v>
      </c>
      <c r="M16" s="3">
        <f t="shared" si="3"/>
        <v>2.826389360208742E-2</v>
      </c>
    </row>
    <row r="17" spans="1:13">
      <c r="A17" s="1" t="s">
        <v>7</v>
      </c>
      <c r="B17" s="2" t="s">
        <v>8</v>
      </c>
      <c r="C17" s="2">
        <v>20420905.609999999</v>
      </c>
      <c r="D17" s="2">
        <v>25056016.440000001</v>
      </c>
      <c r="E17" s="2">
        <v>4635110.83</v>
      </c>
      <c r="F17" s="3">
        <f t="shared" si="2"/>
        <v>0.22697871086237298</v>
      </c>
      <c r="G17" s="2">
        <v>-902094.4</v>
      </c>
      <c r="H17" s="2">
        <v>24437.279999999999</v>
      </c>
      <c r="I17" s="2">
        <v>3757453.71</v>
      </c>
      <c r="J17" s="3">
        <f t="shared" si="0"/>
        <v>5.6503063308270679E-3</v>
      </c>
      <c r="K17" s="3">
        <f t="shared" si="1"/>
        <v>2.5356683170471409E-2</v>
      </c>
      <c r="L17" s="3">
        <v>3.5516061453925697E-2</v>
      </c>
      <c r="M17" s="3">
        <f t="shared" si="3"/>
        <v>-1.0159378283454288E-2</v>
      </c>
    </row>
    <row r="18" spans="1:13">
      <c r="A18" s="1" t="s">
        <v>15</v>
      </c>
      <c r="B18" s="2" t="s">
        <v>16</v>
      </c>
      <c r="C18" s="2">
        <v>20602116.93</v>
      </c>
      <c r="D18" s="2">
        <v>24667329.57</v>
      </c>
      <c r="E18" s="2">
        <v>4065212.64</v>
      </c>
      <c r="F18" s="3">
        <f t="shared" si="2"/>
        <v>0.19732014209085455</v>
      </c>
      <c r="G18" s="2">
        <v>633545.79</v>
      </c>
      <c r="H18" s="2">
        <v>47281</v>
      </c>
      <c r="I18" s="2">
        <v>4746039.43</v>
      </c>
      <c r="J18" s="3">
        <f t="shared" si="0"/>
        <v>7.1369013984962405E-3</v>
      </c>
      <c r="K18" s="3">
        <f t="shared" si="1"/>
        <v>2.4963332142836459E-2</v>
      </c>
      <c r="L18" s="3">
        <v>3.106867829897117E-2</v>
      </c>
      <c r="M18" s="3">
        <f t="shared" si="3"/>
        <v>-6.1053461561347104E-3</v>
      </c>
    </row>
    <row r="19" spans="1:13">
      <c r="A19" s="1" t="s">
        <v>21</v>
      </c>
      <c r="B19" s="2" t="s">
        <v>22</v>
      </c>
      <c r="C19" s="2">
        <v>20545549.98</v>
      </c>
      <c r="D19" s="2">
        <v>24440825.199999999</v>
      </c>
      <c r="E19" s="2">
        <v>3895275.22</v>
      </c>
      <c r="F19" s="3">
        <f t="shared" si="2"/>
        <v>0.18959216101743898</v>
      </c>
      <c r="G19" s="2">
        <v>1018756.11</v>
      </c>
      <c r="H19" s="2">
        <v>14074</v>
      </c>
      <c r="I19" s="2">
        <v>4928105.33</v>
      </c>
      <c r="J19" s="3">
        <f t="shared" si="0"/>
        <v>7.4106847067669174E-3</v>
      </c>
      <c r="K19" s="3">
        <f t="shared" si="1"/>
        <v>2.4734109769815965E-2</v>
      </c>
      <c r="L19" s="3">
        <v>6.0057969611816784E-4</v>
      </c>
      <c r="M19" s="3">
        <f t="shared" si="3"/>
        <v>2.4133530073697798E-2</v>
      </c>
    </row>
    <row r="20" spans="1:13">
      <c r="A20" s="1" t="s">
        <v>9</v>
      </c>
      <c r="B20" s="2" t="s">
        <v>10</v>
      </c>
      <c r="C20" s="2">
        <v>20650792.77</v>
      </c>
      <c r="D20" s="2">
        <v>23709044.899999999</v>
      </c>
      <c r="E20" s="2">
        <v>3058252.13</v>
      </c>
      <c r="F20" s="3">
        <f t="shared" si="2"/>
        <v>0.14809369132030664</v>
      </c>
      <c r="G20" s="2">
        <v>-1237897.93</v>
      </c>
      <c r="H20" s="2">
        <v>0</v>
      </c>
      <c r="I20" s="2">
        <v>1820354.2</v>
      </c>
      <c r="J20" s="3">
        <f t="shared" si="0"/>
        <v>2.737374736842105E-3</v>
      </c>
      <c r="K20" s="3">
        <f t="shared" si="1"/>
        <v>2.399354826587833E-2</v>
      </c>
      <c r="L20" s="3">
        <v>4.0607819501415815E-2</v>
      </c>
      <c r="M20" s="3">
        <f t="shared" si="3"/>
        <v>-1.6614271235537485E-2</v>
      </c>
    </row>
    <row r="21" spans="1:13">
      <c r="A21" s="1" t="s">
        <v>11</v>
      </c>
      <c r="B21" s="2" t="s">
        <v>12</v>
      </c>
      <c r="C21" s="2">
        <v>22117032.02</v>
      </c>
      <c r="D21" s="2">
        <v>23346260.039999999</v>
      </c>
      <c r="E21" s="2">
        <v>1229228.02</v>
      </c>
      <c r="F21" s="3">
        <f t="shared" si="2"/>
        <v>5.5578344277316831E-2</v>
      </c>
      <c r="G21" s="2">
        <v>0</v>
      </c>
      <c r="H21" s="2">
        <v>35568.080000000002</v>
      </c>
      <c r="I21" s="2">
        <v>1264796.1000000001</v>
      </c>
      <c r="J21" s="3">
        <f t="shared" si="0"/>
        <v>1.9019490225563912E-3</v>
      </c>
      <c r="K21" s="3">
        <f t="shared" si="1"/>
        <v>2.3626410066711991E-2</v>
      </c>
      <c r="L21" s="3">
        <v>8.1433421586795741E-4</v>
      </c>
      <c r="M21" s="3">
        <f t="shared" si="3"/>
        <v>2.2812075850844032E-2</v>
      </c>
    </row>
    <row r="22" spans="1:13">
      <c r="A22" s="1" t="s">
        <v>47</v>
      </c>
      <c r="B22" s="2" t="s">
        <v>48</v>
      </c>
      <c r="C22" s="2">
        <v>21981563.16</v>
      </c>
      <c r="D22" s="2">
        <v>20985061.120000001</v>
      </c>
      <c r="E22" s="2">
        <v>-996502.04</v>
      </c>
      <c r="F22" s="3">
        <f t="shared" si="2"/>
        <v>-4.5333538508914667E-2</v>
      </c>
      <c r="G22" s="2">
        <v>0</v>
      </c>
      <c r="H22" s="2">
        <v>81051.91</v>
      </c>
      <c r="I22" s="2">
        <v>-915450.13</v>
      </c>
      <c r="J22" s="3">
        <f t="shared" si="0"/>
        <v>-1.3766167368421053E-3</v>
      </c>
      <c r="K22" s="3">
        <f t="shared" si="1"/>
        <v>2.1236877274846563E-2</v>
      </c>
      <c r="L22" s="3">
        <v>8.7200675594792283E-3</v>
      </c>
      <c r="M22" s="3">
        <f t="shared" si="3"/>
        <v>1.2516809715367335E-2</v>
      </c>
    </row>
    <row r="23" spans="1:13">
      <c r="A23" s="1" t="s">
        <v>19</v>
      </c>
      <c r="B23" s="2" t="s">
        <v>20</v>
      </c>
      <c r="C23" s="2">
        <v>15620553.859999999</v>
      </c>
      <c r="D23" s="2">
        <v>20631820.91</v>
      </c>
      <c r="E23" s="2">
        <v>5011267.05</v>
      </c>
      <c r="F23" s="3">
        <f t="shared" si="2"/>
        <v>0.32081237931213791</v>
      </c>
      <c r="G23" s="2">
        <v>0</v>
      </c>
      <c r="H23" s="2">
        <v>30105.32</v>
      </c>
      <c r="I23" s="2">
        <v>5041372.37</v>
      </c>
      <c r="J23" s="3">
        <f t="shared" si="0"/>
        <v>7.5810110827067671E-3</v>
      </c>
      <c r="K23" s="3">
        <f t="shared" si="1"/>
        <v>2.0879398259397736E-2</v>
      </c>
      <c r="L23" s="3">
        <v>2.2107432761425505E-3</v>
      </c>
      <c r="M23" s="3">
        <f t="shared" si="3"/>
        <v>1.8668654983255185E-2</v>
      </c>
    </row>
    <row r="24" spans="1:13">
      <c r="A24" s="1" t="s">
        <v>43</v>
      </c>
      <c r="B24" s="2" t="s">
        <v>44</v>
      </c>
      <c r="C24" s="2">
        <v>22050649.07</v>
      </c>
      <c r="D24" s="2">
        <v>20582555.579999998</v>
      </c>
      <c r="E24" s="2">
        <v>-1468093.49</v>
      </c>
      <c r="F24" s="3">
        <f t="shared" si="2"/>
        <v>-6.657824381221264E-2</v>
      </c>
      <c r="G24" s="2">
        <v>0</v>
      </c>
      <c r="H24" s="2">
        <v>53229.599999999999</v>
      </c>
      <c r="I24" s="2">
        <v>-1414863.89</v>
      </c>
      <c r="J24" s="3">
        <f t="shared" si="0"/>
        <v>-2.127614872180451E-3</v>
      </c>
      <c r="K24" s="3">
        <f t="shared" si="1"/>
        <v>2.0829541756186617E-2</v>
      </c>
      <c r="L24" s="3">
        <v>1.1108504781764136E-3</v>
      </c>
      <c r="M24" s="3">
        <f t="shared" si="3"/>
        <v>1.9718691278010202E-2</v>
      </c>
    </row>
    <row r="25" spans="1:13">
      <c r="A25" s="1" t="s">
        <v>25</v>
      </c>
      <c r="B25" s="2" t="s">
        <v>26</v>
      </c>
      <c r="C25" s="2">
        <v>22733949.739999998</v>
      </c>
      <c r="D25" s="2">
        <v>18215031.719999999</v>
      </c>
      <c r="E25" s="2">
        <v>-4518918.0199999996</v>
      </c>
      <c r="F25" s="3">
        <f t="shared" si="2"/>
        <v>-0.19877399535413945</v>
      </c>
      <c r="G25" s="2">
        <v>0</v>
      </c>
      <c r="H25" s="2">
        <v>0</v>
      </c>
      <c r="I25" s="2">
        <v>-4518918.0199999996</v>
      </c>
      <c r="J25" s="3">
        <f t="shared" si="0"/>
        <v>-6.7953654436090222E-3</v>
      </c>
      <c r="K25" s="3">
        <f t="shared" si="1"/>
        <v>1.8433608126421187E-2</v>
      </c>
      <c r="L25" s="3">
        <v>2.1253401661791062E-4</v>
      </c>
      <c r="M25" s="3">
        <f t="shared" si="3"/>
        <v>1.8221074109803274E-2</v>
      </c>
    </row>
    <row r="26" spans="1:13">
      <c r="A26" s="1" t="s">
        <v>31</v>
      </c>
      <c r="B26" s="2" t="s">
        <v>32</v>
      </c>
      <c r="C26" s="2">
        <v>19730983.309999999</v>
      </c>
      <c r="D26" s="2">
        <v>18210467.16</v>
      </c>
      <c r="E26" s="2">
        <v>-1520516.15</v>
      </c>
      <c r="F26" s="3">
        <f t="shared" si="2"/>
        <v>-7.7062360558045606E-2</v>
      </c>
      <c r="G26" s="2">
        <v>27974.32</v>
      </c>
      <c r="H26" s="2">
        <v>19242.8</v>
      </c>
      <c r="I26" s="2">
        <v>-1473299.03</v>
      </c>
      <c r="J26" s="3">
        <f t="shared" si="0"/>
        <v>-2.2154872631578947E-3</v>
      </c>
      <c r="K26" s="3">
        <f t="shared" si="1"/>
        <v>1.8428988792697099E-2</v>
      </c>
      <c r="L26" s="3">
        <v>2.0757198936795132E-2</v>
      </c>
      <c r="M26" s="3">
        <f t="shared" si="3"/>
        <v>-2.3282101440980328E-3</v>
      </c>
    </row>
    <row r="27" spans="1:13">
      <c r="A27" s="1" t="s">
        <v>23</v>
      </c>
      <c r="B27" s="2" t="s">
        <v>24</v>
      </c>
      <c r="C27" s="2">
        <v>14911214.73</v>
      </c>
      <c r="D27" s="2">
        <v>17905339.75</v>
      </c>
      <c r="E27" s="2">
        <v>2994125.02</v>
      </c>
      <c r="F27" s="3">
        <f t="shared" si="2"/>
        <v>0.20079685486495572</v>
      </c>
      <c r="G27" s="2">
        <v>0</v>
      </c>
      <c r="H27" s="2">
        <v>0</v>
      </c>
      <c r="I27" s="2">
        <v>2994125.02</v>
      </c>
      <c r="J27" s="3">
        <f t="shared" si="0"/>
        <v>4.5024436390977444E-3</v>
      </c>
      <c r="K27" s="3">
        <f t="shared" si="1"/>
        <v>1.8120199920350855E-2</v>
      </c>
      <c r="L27" s="3">
        <v>9.1881732285348683E-4</v>
      </c>
      <c r="M27" s="3">
        <f t="shared" si="3"/>
        <v>1.7201382597497369E-2</v>
      </c>
    </row>
    <row r="28" spans="1:13">
      <c r="A28" s="1" t="s">
        <v>35</v>
      </c>
      <c r="B28" s="2" t="s">
        <v>36</v>
      </c>
      <c r="C28" s="2">
        <v>19928264.120000001</v>
      </c>
      <c r="D28" s="2">
        <v>17514609.280000001</v>
      </c>
      <c r="E28" s="2">
        <v>-2413654.84</v>
      </c>
      <c r="F28" s="3">
        <f t="shared" si="2"/>
        <v>-0.12111716431827378</v>
      </c>
      <c r="G28" s="2">
        <v>-3135015.52</v>
      </c>
      <c r="H28" s="2">
        <v>103768.21</v>
      </c>
      <c r="I28" s="2">
        <v>-5444902.1500000004</v>
      </c>
      <c r="J28" s="3">
        <f t="shared" si="0"/>
        <v>-8.1878227819548871E-3</v>
      </c>
      <c r="K28" s="3">
        <f t="shared" si="1"/>
        <v>1.7724780769961784E-2</v>
      </c>
      <c r="L28" s="3">
        <v>4.9044119160738857E-2</v>
      </c>
      <c r="M28" s="3">
        <f t="shared" si="3"/>
        <v>-3.1319338390777073E-2</v>
      </c>
    </row>
    <row r="29" spans="1:13">
      <c r="A29" s="1" t="s">
        <v>53</v>
      </c>
      <c r="B29" s="2" t="s">
        <v>54</v>
      </c>
      <c r="C29" s="2">
        <v>10175022.32</v>
      </c>
      <c r="D29" s="2">
        <v>11672682.34</v>
      </c>
      <c r="E29" s="2">
        <v>1497660.02</v>
      </c>
      <c r="F29" s="3">
        <f t="shared" si="2"/>
        <v>0.14718985107838073</v>
      </c>
      <c r="G29" s="2">
        <v>0</v>
      </c>
      <c r="H29" s="2">
        <v>14986.02</v>
      </c>
      <c r="I29" s="2">
        <v>1512646.04</v>
      </c>
      <c r="J29" s="3">
        <f t="shared" si="0"/>
        <v>2.2746556992481203E-3</v>
      </c>
      <c r="K29" s="3">
        <f t="shared" si="1"/>
        <v>1.1812751981293671E-2</v>
      </c>
      <c r="L29" s="3">
        <v>0</v>
      </c>
      <c r="M29" s="3">
        <f t="shared" si="3"/>
        <v>1.1812751981293671E-2</v>
      </c>
    </row>
    <row r="30" spans="1:13">
      <c r="A30" s="1" t="s">
        <v>55</v>
      </c>
      <c r="B30" s="2" t="s">
        <v>56</v>
      </c>
      <c r="C30" s="2">
        <v>10284583.050000001</v>
      </c>
      <c r="D30" s="2">
        <v>11340927.5</v>
      </c>
      <c r="E30" s="2">
        <v>1056344.45</v>
      </c>
      <c r="F30" s="3">
        <f t="shared" si="2"/>
        <v>0.10271145119490283</v>
      </c>
      <c r="G30" s="2">
        <v>0</v>
      </c>
      <c r="H30" s="2">
        <v>0</v>
      </c>
      <c r="I30" s="2">
        <v>1056344.45</v>
      </c>
      <c r="J30" s="3">
        <f t="shared" si="0"/>
        <v>1.5884878947368421E-3</v>
      </c>
      <c r="K30" s="3">
        <f t="shared" si="1"/>
        <v>1.1477016155597094E-2</v>
      </c>
      <c r="L30" s="3">
        <v>0</v>
      </c>
      <c r="M30" s="3">
        <f t="shared" si="3"/>
        <v>1.1477016155597094E-2</v>
      </c>
    </row>
    <row r="31" spans="1:13">
      <c r="A31" s="1" t="s">
        <v>101</v>
      </c>
      <c r="B31" s="2" t="s">
        <v>102</v>
      </c>
      <c r="C31" s="2">
        <v>10363614.09</v>
      </c>
      <c r="D31" s="2">
        <v>10598464.800000001</v>
      </c>
      <c r="E31" s="2">
        <v>234850.71</v>
      </c>
      <c r="F31" s="3">
        <f t="shared" si="2"/>
        <v>2.266108212448887E-2</v>
      </c>
      <c r="G31" s="2">
        <v>0</v>
      </c>
      <c r="H31" s="2">
        <v>0</v>
      </c>
      <c r="I31" s="2">
        <v>234850.71</v>
      </c>
      <c r="J31" s="3">
        <f t="shared" si="0"/>
        <v>3.5315896240601503E-4</v>
      </c>
      <c r="K31" s="3">
        <f t="shared" si="1"/>
        <v>1.0725644065190183E-2</v>
      </c>
      <c r="L31" s="3">
        <v>1.8950833304210001E-3</v>
      </c>
      <c r="M31" s="3">
        <f t="shared" si="3"/>
        <v>8.8305607347691824E-3</v>
      </c>
    </row>
    <row r="32" spans="1:13">
      <c r="A32" s="1" t="s">
        <v>57</v>
      </c>
      <c r="B32" s="2" t="s">
        <v>58</v>
      </c>
      <c r="C32" s="2">
        <v>10207369.220000001</v>
      </c>
      <c r="D32" s="2">
        <v>10325731.199999999</v>
      </c>
      <c r="E32" s="2">
        <v>118361.98</v>
      </c>
      <c r="F32" s="3">
        <f t="shared" si="2"/>
        <v>1.1595738083823325E-2</v>
      </c>
      <c r="G32" s="2">
        <v>0</v>
      </c>
      <c r="H32" s="2">
        <v>0</v>
      </c>
      <c r="I32" s="2">
        <v>118361.98</v>
      </c>
      <c r="J32" s="3">
        <f t="shared" si="0"/>
        <v>1.7798793984962405E-4</v>
      </c>
      <c r="K32" s="3">
        <f t="shared" si="1"/>
        <v>1.0449637721496144E-2</v>
      </c>
      <c r="L32" s="3">
        <v>0</v>
      </c>
      <c r="M32" s="3">
        <f t="shared" si="3"/>
        <v>1.0449637721496144E-2</v>
      </c>
    </row>
    <row r="33" spans="1:13">
      <c r="A33" s="1" t="s">
        <v>89</v>
      </c>
      <c r="B33" s="2" t="s">
        <v>90</v>
      </c>
      <c r="C33" s="2">
        <v>10244124.26</v>
      </c>
      <c r="D33" s="2">
        <v>9257639.5800000001</v>
      </c>
      <c r="E33" s="2">
        <v>-986484.68</v>
      </c>
      <c r="F33" s="3">
        <f t="shared" si="2"/>
        <v>-9.6297609728525496E-2</v>
      </c>
      <c r="G33" s="2">
        <v>0</v>
      </c>
      <c r="H33" s="2">
        <v>0</v>
      </c>
      <c r="I33" s="2">
        <v>-986484.68</v>
      </c>
      <c r="J33" s="3">
        <f t="shared" si="0"/>
        <v>-1.4834356090225565E-3</v>
      </c>
      <c r="K33" s="3">
        <f t="shared" si="1"/>
        <v>9.368729235096079E-3</v>
      </c>
      <c r="L33" s="3">
        <v>4.3316265829525073E-3</v>
      </c>
      <c r="M33" s="3">
        <f t="shared" si="3"/>
        <v>5.0371026521435717E-3</v>
      </c>
    </row>
    <row r="34" spans="1:13">
      <c r="A34" s="1" t="s">
        <v>95</v>
      </c>
      <c r="B34" s="2" t="s">
        <v>96</v>
      </c>
      <c r="C34" s="2">
        <v>0</v>
      </c>
      <c r="D34" s="2">
        <v>0</v>
      </c>
      <c r="E34" s="2">
        <v>0</v>
      </c>
      <c r="G34" s="2">
        <v>4001902.58</v>
      </c>
      <c r="H34" s="2">
        <v>36492.300000000003</v>
      </c>
      <c r="I34" s="2">
        <v>4038394.88</v>
      </c>
      <c r="J34" s="3">
        <f t="shared" si="0"/>
        <v>6.072774255639098E-3</v>
      </c>
      <c r="K34" s="3">
        <f t="shared" si="1"/>
        <v>0</v>
      </c>
    </row>
    <row r="35" spans="1:13">
      <c r="A35" s="1" t="s">
        <v>93</v>
      </c>
      <c r="B35" s="2" t="s">
        <v>94</v>
      </c>
      <c r="C35" s="2">
        <v>0</v>
      </c>
      <c r="D35" s="2">
        <v>0</v>
      </c>
      <c r="E35" s="2">
        <v>0</v>
      </c>
      <c r="G35" s="2">
        <v>2911895.56</v>
      </c>
      <c r="H35" s="2">
        <v>26661.18</v>
      </c>
      <c r="I35" s="2">
        <v>2938556.74</v>
      </c>
      <c r="J35" s="3">
        <f t="shared" si="0"/>
        <v>4.4188823157894743E-3</v>
      </c>
      <c r="K35" s="3">
        <f t="shared" si="1"/>
        <v>0</v>
      </c>
    </row>
    <row r="36" spans="1:13">
      <c r="A36" s="1" t="s">
        <v>61</v>
      </c>
      <c r="B36" s="2" t="s">
        <v>62</v>
      </c>
      <c r="C36" s="2">
        <v>0</v>
      </c>
      <c r="D36" s="2">
        <v>0</v>
      </c>
      <c r="E36" s="2">
        <v>0</v>
      </c>
      <c r="G36" s="2">
        <v>1395273.89</v>
      </c>
      <c r="H36" s="2">
        <v>115152.66</v>
      </c>
      <c r="I36" s="2">
        <v>1510426.55</v>
      </c>
      <c r="J36" s="3">
        <f t="shared" si="0"/>
        <v>2.271318120300752E-3</v>
      </c>
      <c r="K36" s="3">
        <f t="shared" si="1"/>
        <v>0</v>
      </c>
    </row>
    <row r="37" spans="1:13">
      <c r="A37" s="1" t="s">
        <v>75</v>
      </c>
      <c r="B37" s="2" t="s">
        <v>76</v>
      </c>
      <c r="C37" s="2">
        <v>0</v>
      </c>
      <c r="D37" s="2">
        <v>0</v>
      </c>
      <c r="E37" s="2">
        <v>0</v>
      </c>
      <c r="G37" s="2">
        <v>1029441.61</v>
      </c>
      <c r="H37" s="2">
        <v>20376.3</v>
      </c>
      <c r="I37" s="2">
        <v>1049817.9099999999</v>
      </c>
      <c r="J37" s="3">
        <f t="shared" ref="J37:J57" si="4">I37/($B$1*1000000)</f>
        <v>1.5786735488721804E-3</v>
      </c>
      <c r="K37" s="3">
        <f t="shared" ref="K37:K57" si="5">D37/$D$2</f>
        <v>0</v>
      </c>
    </row>
    <row r="38" spans="1:13">
      <c r="A38" s="1" t="s">
        <v>87</v>
      </c>
      <c r="B38" s="2" t="s">
        <v>88</v>
      </c>
      <c r="C38" s="2">
        <v>0</v>
      </c>
      <c r="D38" s="2">
        <v>0</v>
      </c>
      <c r="E38" s="2">
        <v>0</v>
      </c>
      <c r="G38" s="2">
        <v>410761.87</v>
      </c>
      <c r="H38" s="2">
        <v>0</v>
      </c>
      <c r="I38" s="2">
        <v>410761.87</v>
      </c>
      <c r="J38" s="3">
        <f t="shared" si="4"/>
        <v>6.1768702255639101E-4</v>
      </c>
      <c r="K38" s="3">
        <f t="shared" si="5"/>
        <v>0</v>
      </c>
    </row>
    <row r="39" spans="1:13">
      <c r="A39" s="1" t="s">
        <v>69</v>
      </c>
      <c r="B39" s="2" t="s">
        <v>70</v>
      </c>
      <c r="C39" s="2">
        <v>0</v>
      </c>
      <c r="D39" s="2">
        <v>0</v>
      </c>
      <c r="E39" s="2">
        <v>0</v>
      </c>
      <c r="G39" s="2">
        <v>268065.77</v>
      </c>
      <c r="H39" s="2">
        <v>45273.25</v>
      </c>
      <c r="I39" s="2">
        <v>313339.02</v>
      </c>
      <c r="J39" s="3">
        <f t="shared" si="4"/>
        <v>4.7118649624060152E-4</v>
      </c>
      <c r="K39" s="3">
        <f t="shared" si="5"/>
        <v>0</v>
      </c>
    </row>
    <row r="40" spans="1:13">
      <c r="A40" s="1" t="s">
        <v>107</v>
      </c>
      <c r="B40" s="2" t="s">
        <v>108</v>
      </c>
      <c r="C40" s="2">
        <v>0</v>
      </c>
      <c r="D40" s="2">
        <v>0</v>
      </c>
      <c r="E40" s="2">
        <v>0</v>
      </c>
      <c r="G40" s="2">
        <v>68193.27</v>
      </c>
      <c r="H40" s="2">
        <v>0</v>
      </c>
      <c r="I40" s="2">
        <v>68193.27</v>
      </c>
      <c r="J40" s="3">
        <f t="shared" si="4"/>
        <v>1.0254627067669173E-4</v>
      </c>
      <c r="K40" s="3">
        <f t="shared" si="5"/>
        <v>0</v>
      </c>
    </row>
    <row r="41" spans="1:13">
      <c r="A41" s="1" t="s">
        <v>71</v>
      </c>
      <c r="B41" s="2" t="s">
        <v>72</v>
      </c>
      <c r="C41" s="2">
        <v>0</v>
      </c>
      <c r="D41" s="2">
        <v>0</v>
      </c>
      <c r="E41" s="2">
        <v>0</v>
      </c>
      <c r="G41" s="2">
        <v>22369.75</v>
      </c>
      <c r="H41" s="2">
        <v>0</v>
      </c>
      <c r="I41" s="2">
        <v>22369.75</v>
      </c>
      <c r="J41" s="3">
        <f t="shared" si="4"/>
        <v>3.3638721804511281E-5</v>
      </c>
      <c r="K41" s="3">
        <f t="shared" si="5"/>
        <v>0</v>
      </c>
    </row>
    <row r="42" spans="1:13">
      <c r="A42" s="1" t="s">
        <v>105</v>
      </c>
      <c r="B42" s="2" t="s">
        <v>106</v>
      </c>
      <c r="C42" s="2">
        <v>0</v>
      </c>
      <c r="D42" s="2">
        <v>0</v>
      </c>
      <c r="E42" s="2">
        <v>0</v>
      </c>
      <c r="G42" s="2">
        <v>-131490.78</v>
      </c>
      <c r="H42" s="2">
        <v>0</v>
      </c>
      <c r="I42" s="2">
        <v>-131490.78</v>
      </c>
      <c r="J42" s="3">
        <f t="shared" si="4"/>
        <v>-1.977304962406015E-4</v>
      </c>
      <c r="K42" s="3">
        <f t="shared" si="5"/>
        <v>0</v>
      </c>
    </row>
    <row r="43" spans="1:13">
      <c r="A43" s="1" t="s">
        <v>85</v>
      </c>
      <c r="B43" s="2" t="s">
        <v>86</v>
      </c>
      <c r="C43" s="2">
        <v>0</v>
      </c>
      <c r="D43" s="2">
        <v>0</v>
      </c>
      <c r="E43" s="2">
        <v>0</v>
      </c>
      <c r="G43" s="2">
        <v>-145838.37</v>
      </c>
      <c r="H43" s="2">
        <v>0</v>
      </c>
      <c r="I43" s="2">
        <v>-145838.37</v>
      </c>
      <c r="J43" s="3">
        <f t="shared" si="4"/>
        <v>-2.1930581954887217E-4</v>
      </c>
      <c r="K43" s="3">
        <f t="shared" si="5"/>
        <v>0</v>
      </c>
    </row>
    <row r="44" spans="1:13">
      <c r="A44" s="1" t="s">
        <v>111</v>
      </c>
      <c r="B44" s="2" t="s">
        <v>112</v>
      </c>
      <c r="C44" s="2">
        <v>0</v>
      </c>
      <c r="D44" s="2">
        <v>0</v>
      </c>
      <c r="E44" s="2">
        <v>0</v>
      </c>
      <c r="G44" s="2">
        <v>-815244.92</v>
      </c>
      <c r="H44" s="2">
        <v>0</v>
      </c>
      <c r="I44" s="2">
        <v>-815244.92</v>
      </c>
      <c r="J44" s="3">
        <f t="shared" si="4"/>
        <v>-1.2259322105263159E-3</v>
      </c>
      <c r="K44" s="3">
        <f t="shared" si="5"/>
        <v>0</v>
      </c>
    </row>
    <row r="45" spans="1:13">
      <c r="A45" s="1" t="s">
        <v>59</v>
      </c>
      <c r="B45" s="2" t="s">
        <v>60</v>
      </c>
      <c r="C45" s="2">
        <v>0</v>
      </c>
      <c r="D45" s="2">
        <v>0</v>
      </c>
      <c r="E45" s="2">
        <v>0</v>
      </c>
      <c r="G45" s="2">
        <v>-859236.12</v>
      </c>
      <c r="H45" s="2">
        <v>19188.75</v>
      </c>
      <c r="I45" s="2">
        <v>-840047.37</v>
      </c>
      <c r="J45" s="3">
        <f t="shared" si="4"/>
        <v>-1.2632291278195488E-3</v>
      </c>
      <c r="K45" s="3">
        <f t="shared" si="5"/>
        <v>0</v>
      </c>
    </row>
    <row r="46" spans="1:13">
      <c r="A46" s="1" t="s">
        <v>113</v>
      </c>
      <c r="B46" s="2" t="s">
        <v>114</v>
      </c>
      <c r="C46" s="2">
        <v>0</v>
      </c>
      <c r="D46" s="2">
        <v>0</v>
      </c>
      <c r="E46" s="2">
        <v>0</v>
      </c>
      <c r="G46" s="2">
        <v>-1009120.36</v>
      </c>
      <c r="H46" s="2">
        <v>0</v>
      </c>
      <c r="I46" s="2">
        <v>-1009120.36</v>
      </c>
      <c r="J46" s="3">
        <f t="shared" si="4"/>
        <v>-1.5174742255639098E-3</v>
      </c>
      <c r="K46" s="3">
        <f t="shared" si="5"/>
        <v>0</v>
      </c>
    </row>
    <row r="47" spans="1:13">
      <c r="A47" s="1" t="s">
        <v>91</v>
      </c>
      <c r="B47" s="2" t="s">
        <v>92</v>
      </c>
      <c r="C47" s="2">
        <v>0</v>
      </c>
      <c r="D47" s="2">
        <v>0</v>
      </c>
      <c r="E47" s="2">
        <v>0</v>
      </c>
      <c r="G47" s="2">
        <v>-1053475.24</v>
      </c>
      <c r="H47" s="2">
        <v>0</v>
      </c>
      <c r="I47" s="2">
        <v>-1053475.24</v>
      </c>
      <c r="J47" s="3">
        <f t="shared" si="4"/>
        <v>-1.5841732932330827E-3</v>
      </c>
      <c r="K47" s="3">
        <f t="shared" si="5"/>
        <v>0</v>
      </c>
    </row>
    <row r="48" spans="1:13">
      <c r="A48" s="1" t="s">
        <v>103</v>
      </c>
      <c r="B48" s="2" t="s">
        <v>104</v>
      </c>
      <c r="C48" s="2">
        <v>0</v>
      </c>
      <c r="D48" s="2">
        <v>0</v>
      </c>
      <c r="E48" s="2">
        <v>0</v>
      </c>
      <c r="G48" s="2">
        <v>-1262864.75</v>
      </c>
      <c r="H48" s="2">
        <v>0</v>
      </c>
      <c r="I48" s="2">
        <v>-1262864.75</v>
      </c>
      <c r="J48" s="3">
        <f t="shared" si="4"/>
        <v>-1.8990447368421052E-3</v>
      </c>
      <c r="K48" s="3">
        <f t="shared" si="5"/>
        <v>0</v>
      </c>
    </row>
    <row r="49" spans="1:11">
      <c r="A49" s="1" t="s">
        <v>67</v>
      </c>
      <c r="B49" s="2" t="s">
        <v>68</v>
      </c>
      <c r="C49" s="2">
        <v>0</v>
      </c>
      <c r="D49" s="2">
        <v>0</v>
      </c>
      <c r="E49" s="2">
        <v>0</v>
      </c>
      <c r="G49" s="2">
        <v>-1336132.1200000001</v>
      </c>
      <c r="H49" s="2">
        <v>46841.919999999998</v>
      </c>
      <c r="I49" s="2">
        <v>-1289290.2</v>
      </c>
      <c r="J49" s="3">
        <f t="shared" si="4"/>
        <v>-1.9387822556390976E-3</v>
      </c>
      <c r="K49" s="3">
        <f t="shared" si="5"/>
        <v>0</v>
      </c>
    </row>
    <row r="50" spans="1:11">
      <c r="A50" s="1" t="s">
        <v>109</v>
      </c>
      <c r="B50" s="2" t="s">
        <v>110</v>
      </c>
      <c r="C50" s="2">
        <v>0</v>
      </c>
      <c r="D50" s="2">
        <v>0</v>
      </c>
      <c r="E50" s="2">
        <v>0</v>
      </c>
      <c r="G50" s="2">
        <v>-1583831.91</v>
      </c>
      <c r="H50" s="2">
        <v>40503.5</v>
      </c>
      <c r="I50" s="2">
        <v>-1543328.41</v>
      </c>
      <c r="J50" s="3">
        <f t="shared" si="4"/>
        <v>-2.3207946015037593E-3</v>
      </c>
      <c r="K50" s="3">
        <f t="shared" si="5"/>
        <v>0</v>
      </c>
    </row>
    <row r="51" spans="1:11">
      <c r="A51" s="1" t="s">
        <v>73</v>
      </c>
      <c r="B51" s="2" t="s">
        <v>74</v>
      </c>
      <c r="C51" s="2">
        <v>0</v>
      </c>
      <c r="D51" s="2">
        <v>0</v>
      </c>
      <c r="E51" s="2">
        <v>0</v>
      </c>
      <c r="G51" s="2">
        <v>-1655431.22</v>
      </c>
      <c r="H51" s="2">
        <v>0</v>
      </c>
      <c r="I51" s="2">
        <v>-1655431.22</v>
      </c>
      <c r="J51" s="3">
        <f t="shared" si="4"/>
        <v>-2.4893702556390979E-3</v>
      </c>
      <c r="K51" s="3">
        <f t="shared" si="5"/>
        <v>0</v>
      </c>
    </row>
    <row r="52" spans="1:11">
      <c r="A52" s="1" t="s">
        <v>81</v>
      </c>
      <c r="B52" s="2" t="s">
        <v>82</v>
      </c>
      <c r="C52" s="2">
        <v>0</v>
      </c>
      <c r="D52" s="2">
        <v>0</v>
      </c>
      <c r="E52" s="2">
        <v>0</v>
      </c>
      <c r="G52" s="2">
        <v>-1896917.62</v>
      </c>
      <c r="H52" s="2">
        <v>47234.49</v>
      </c>
      <c r="I52" s="2">
        <v>-1849683.13</v>
      </c>
      <c r="J52" s="3">
        <f t="shared" si="4"/>
        <v>-2.7814783909774436E-3</v>
      </c>
      <c r="K52" s="3">
        <f t="shared" si="5"/>
        <v>0</v>
      </c>
    </row>
    <row r="53" spans="1:11">
      <c r="A53" s="1" t="s">
        <v>97</v>
      </c>
      <c r="B53" s="2" t="s">
        <v>98</v>
      </c>
      <c r="C53" s="2">
        <v>0</v>
      </c>
      <c r="D53" s="2">
        <v>0</v>
      </c>
      <c r="E53" s="2">
        <v>0</v>
      </c>
      <c r="G53" s="2">
        <v>-1860290.61</v>
      </c>
      <c r="H53" s="2">
        <v>0</v>
      </c>
      <c r="I53" s="2">
        <v>-1860290.61</v>
      </c>
      <c r="J53" s="3">
        <f t="shared" si="4"/>
        <v>-2.7974294887218045E-3</v>
      </c>
      <c r="K53" s="3">
        <f t="shared" si="5"/>
        <v>0</v>
      </c>
    </row>
    <row r="54" spans="1:11">
      <c r="A54" s="1" t="s">
        <v>65</v>
      </c>
      <c r="B54" s="2" t="s">
        <v>66</v>
      </c>
      <c r="C54" s="2">
        <v>0</v>
      </c>
      <c r="D54" s="2">
        <v>0</v>
      </c>
      <c r="E54" s="2">
        <v>0</v>
      </c>
      <c r="G54" s="2">
        <v>-1923247.12</v>
      </c>
      <c r="H54" s="2">
        <v>55284.95</v>
      </c>
      <c r="I54" s="2">
        <v>-1867962.17</v>
      </c>
      <c r="J54" s="3">
        <f t="shared" si="4"/>
        <v>-2.8089656691729324E-3</v>
      </c>
      <c r="K54" s="3">
        <f t="shared" si="5"/>
        <v>0</v>
      </c>
    </row>
    <row r="55" spans="1:11">
      <c r="A55" s="1" t="s">
        <v>79</v>
      </c>
      <c r="B55" s="2" t="s">
        <v>80</v>
      </c>
      <c r="C55" s="2">
        <v>0</v>
      </c>
      <c r="D55" s="2">
        <v>0</v>
      </c>
      <c r="E55" s="2">
        <v>0</v>
      </c>
      <c r="G55" s="2">
        <v>-1998585.82</v>
      </c>
      <c r="H55" s="2">
        <v>0</v>
      </c>
      <c r="I55" s="2">
        <v>-1998585.82</v>
      </c>
      <c r="J55" s="3">
        <f t="shared" si="4"/>
        <v>-3.005392210526316E-3</v>
      </c>
      <c r="K55" s="3">
        <f t="shared" si="5"/>
        <v>0</v>
      </c>
    </row>
    <row r="56" spans="1:11">
      <c r="A56" s="1" t="s">
        <v>83</v>
      </c>
      <c r="B56" s="2" t="s">
        <v>84</v>
      </c>
      <c r="C56" s="2">
        <v>0</v>
      </c>
      <c r="D56" s="2">
        <v>0</v>
      </c>
      <c r="E56" s="2">
        <v>0</v>
      </c>
      <c r="G56" s="2">
        <v>-2651820.6800000002</v>
      </c>
      <c r="H56" s="2">
        <v>30804.09</v>
      </c>
      <c r="I56" s="2">
        <v>-2621016.59</v>
      </c>
      <c r="J56" s="3">
        <f t="shared" si="4"/>
        <v>-3.9413783308270677E-3</v>
      </c>
      <c r="K56" s="3">
        <f t="shared" si="5"/>
        <v>0</v>
      </c>
    </row>
    <row r="57" spans="1:11">
      <c r="A57" s="1" t="s">
        <v>99</v>
      </c>
      <c r="B57" s="2" t="s">
        <v>100</v>
      </c>
      <c r="C57" s="2">
        <v>0</v>
      </c>
      <c r="D57" s="2">
        <v>0</v>
      </c>
      <c r="E57" s="2">
        <v>0</v>
      </c>
      <c r="G57" s="2">
        <v>-3628990.75</v>
      </c>
      <c r="H57" s="2">
        <v>92037.41</v>
      </c>
      <c r="I57" s="2">
        <v>-3536953.34</v>
      </c>
      <c r="J57" s="3">
        <f t="shared" si="4"/>
        <v>-5.3187268270676689E-3</v>
      </c>
      <c r="K57" s="3">
        <f t="shared" si="5"/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8FD7A-32AE-46FB-9622-F763833CAF39}">
  <dimension ref="A1:P62"/>
  <sheetViews>
    <sheetView workbookViewId="0">
      <pane xSplit="1" ySplit="4" topLeftCell="B5" activePane="bottomRight" state="frozen"/>
      <selection pane="topRight" activeCell="B1" sqref="B1"/>
      <selection pane="bottomLeft" activeCell="A2" sqref="A2"/>
      <selection pane="bottomRight" activeCell="H3" sqref="H3"/>
    </sheetView>
  </sheetViews>
  <sheetFormatPr defaultRowHeight="15.75"/>
  <cols>
    <col min="1" max="1" width="15.25" style="1" bestFit="1" customWidth="1"/>
    <col min="2" max="2" width="36" style="2" bestFit="1" customWidth="1"/>
    <col min="3" max="4" width="20.875" style="2" customWidth="1"/>
    <col min="5" max="8" width="15.625" style="2" bestFit="1" customWidth="1"/>
    <col min="9" max="11" width="11.625" style="3" bestFit="1" customWidth="1"/>
    <col min="12" max="12" width="9.75" style="3" bestFit="1" customWidth="1"/>
    <col min="13" max="15" width="15.875" style="3" customWidth="1"/>
    <col min="16" max="16" width="16.375" style="3" bestFit="1" customWidth="1"/>
    <col min="17" max="17" width="12.5" style="1" bestFit="1" customWidth="1"/>
    <col min="18" max="16384" width="9" style="1"/>
  </cols>
  <sheetData>
    <row r="1" spans="1:13">
      <c r="B1" s="6"/>
      <c r="C1" s="2" t="s">
        <v>125</v>
      </c>
      <c r="D1" s="2" t="s">
        <v>126</v>
      </c>
      <c r="H1" s="2" t="s">
        <v>127</v>
      </c>
    </row>
    <row r="2" spans="1:13">
      <c r="B2" s="6"/>
      <c r="C2" s="2">
        <f>SUM(C5:C62)</f>
        <v>141242892.42999995</v>
      </c>
      <c r="D2" s="2">
        <f>SUM(D5:D62)</f>
        <v>127897667.63999997</v>
      </c>
      <c r="H2" s="2">
        <f>SUM(H5:H62)</f>
        <v>75750408.779999971</v>
      </c>
    </row>
    <row r="3" spans="1:13">
      <c r="A3" s="5" t="s">
        <v>51</v>
      </c>
      <c r="B3" s="2" t="s">
        <v>52</v>
      </c>
      <c r="C3" s="2" t="s">
        <v>120</v>
      </c>
      <c r="D3" s="2" t="s">
        <v>116</v>
      </c>
      <c r="E3" s="2" t="s">
        <v>119</v>
      </c>
      <c r="F3" s="2" t="s">
        <v>121</v>
      </c>
      <c r="G3" s="2" t="s">
        <v>122</v>
      </c>
      <c r="H3" s="2" t="s">
        <v>123</v>
      </c>
    </row>
    <row r="4" spans="1:13" hidden="1">
      <c r="A4" s="1" t="s">
        <v>0</v>
      </c>
      <c r="B4" s="2" t="s">
        <v>1</v>
      </c>
      <c r="C4" s="2" t="s">
        <v>2</v>
      </c>
      <c r="D4" s="2" t="s">
        <v>115</v>
      </c>
      <c r="E4" s="2" t="s">
        <v>3</v>
      </c>
      <c r="F4" s="2" t="s">
        <v>4</v>
      </c>
      <c r="G4" s="2" t="s">
        <v>5</v>
      </c>
      <c r="H4" s="2" t="s">
        <v>6</v>
      </c>
    </row>
    <row r="5" spans="1:13">
      <c r="A5" s="1" t="s">
        <v>109</v>
      </c>
      <c r="B5" s="2" t="s">
        <v>110</v>
      </c>
      <c r="C5" s="2">
        <v>23115926.530000001</v>
      </c>
      <c r="D5" s="2">
        <v>15789074.369999999</v>
      </c>
      <c r="E5" s="2">
        <v>-7326852.1600000001</v>
      </c>
      <c r="F5" s="2">
        <v>1562202.17</v>
      </c>
      <c r="G5" s="2">
        <v>22480</v>
      </c>
      <c r="H5" s="2">
        <v>-5742169.9900000002</v>
      </c>
    </row>
    <row r="6" spans="1:13">
      <c r="A6" s="1" t="s">
        <v>77</v>
      </c>
      <c r="B6" s="2" t="s">
        <v>78</v>
      </c>
      <c r="C6" s="2">
        <v>19157505.07</v>
      </c>
      <c r="D6" s="2">
        <v>15599743.560000001</v>
      </c>
      <c r="E6" s="2">
        <v>-3557761.51</v>
      </c>
      <c r="F6" s="2">
        <v>0</v>
      </c>
      <c r="G6" s="2">
        <v>0</v>
      </c>
      <c r="H6" s="2">
        <v>-3557761.51</v>
      </c>
    </row>
    <row r="7" spans="1:13">
      <c r="A7" s="1" t="s">
        <v>61</v>
      </c>
      <c r="B7" s="2" t="s">
        <v>62</v>
      </c>
      <c r="C7" s="2">
        <v>9986714.9700000007</v>
      </c>
      <c r="D7" s="2">
        <v>9859261.0800000001</v>
      </c>
      <c r="E7" s="2">
        <v>-127453.89</v>
      </c>
      <c r="F7" s="2">
        <v>0</v>
      </c>
      <c r="G7" s="2">
        <v>0</v>
      </c>
      <c r="H7" s="2">
        <v>-127453.89</v>
      </c>
    </row>
    <row r="8" spans="1:13">
      <c r="A8" s="1" t="s">
        <v>67</v>
      </c>
      <c r="B8" s="2" t="s">
        <v>68</v>
      </c>
      <c r="C8" s="2">
        <v>10001846.99</v>
      </c>
      <c r="D8" s="2">
        <v>9809563.4399999995</v>
      </c>
      <c r="E8" s="2">
        <v>-192283.55</v>
      </c>
      <c r="F8" s="2">
        <v>0</v>
      </c>
      <c r="G8" s="2">
        <v>0</v>
      </c>
      <c r="H8" s="2">
        <v>-192283.55</v>
      </c>
    </row>
    <row r="9" spans="1:13">
      <c r="A9" s="1" t="s">
        <v>103</v>
      </c>
      <c r="B9" s="2" t="s">
        <v>104</v>
      </c>
      <c r="C9" s="2">
        <v>10043521.84</v>
      </c>
      <c r="D9" s="2">
        <v>9238670.8399999999</v>
      </c>
      <c r="E9" s="2">
        <v>-804851</v>
      </c>
      <c r="F9" s="2">
        <v>0</v>
      </c>
      <c r="G9" s="2">
        <v>0</v>
      </c>
      <c r="H9" s="2">
        <v>-804851</v>
      </c>
    </row>
    <row r="10" spans="1:13">
      <c r="A10" s="1" t="s">
        <v>15</v>
      </c>
      <c r="B10" s="2" t="s">
        <v>16</v>
      </c>
      <c r="C10" s="2">
        <v>6851037.4500000002</v>
      </c>
      <c r="D10" s="2">
        <v>7218953.7999999998</v>
      </c>
      <c r="E10" s="2">
        <v>367916.35</v>
      </c>
      <c r="F10" s="2">
        <v>2377814.34</v>
      </c>
      <c r="G10" s="2">
        <v>116363.43</v>
      </c>
      <c r="H10" s="2">
        <v>2862094.12</v>
      </c>
    </row>
    <row r="11" spans="1:13">
      <c r="A11" s="1" t="s">
        <v>37</v>
      </c>
      <c r="B11" s="2" t="s">
        <v>38</v>
      </c>
      <c r="C11" s="2">
        <v>6770997.9699999997</v>
      </c>
      <c r="D11" s="2">
        <v>7189015.5</v>
      </c>
      <c r="E11" s="2">
        <v>418017.53</v>
      </c>
      <c r="F11" s="2">
        <v>3789700.51</v>
      </c>
      <c r="G11" s="2">
        <v>5822.55</v>
      </c>
      <c r="H11" s="2">
        <v>4213540.59</v>
      </c>
    </row>
    <row r="12" spans="1:13">
      <c r="A12" s="1" t="s">
        <v>9</v>
      </c>
      <c r="B12" s="2" t="s">
        <v>10</v>
      </c>
      <c r="C12" s="2">
        <v>6973345.8799999999</v>
      </c>
      <c r="D12" s="2">
        <v>7093560.2400000002</v>
      </c>
      <c r="E12" s="2">
        <v>120214.36</v>
      </c>
      <c r="F12" s="2">
        <v>0</v>
      </c>
      <c r="G12" s="2">
        <v>0</v>
      </c>
      <c r="H12" s="2">
        <v>120214.36</v>
      </c>
    </row>
    <row r="13" spans="1:13">
      <c r="A13" s="1" t="s">
        <v>85</v>
      </c>
      <c r="B13" s="2" t="s">
        <v>86</v>
      </c>
      <c r="C13" s="2">
        <v>6791178.8700000001</v>
      </c>
      <c r="D13" s="2">
        <v>6942451.5</v>
      </c>
      <c r="E13" s="2">
        <v>151272.63</v>
      </c>
      <c r="F13" s="2">
        <v>200111.05</v>
      </c>
      <c r="G13" s="2">
        <v>34797.86</v>
      </c>
      <c r="H13" s="2">
        <v>386181.54</v>
      </c>
      <c r="M13" s="4"/>
    </row>
    <row r="14" spans="1:13">
      <c r="A14" s="1" t="s">
        <v>71</v>
      </c>
      <c r="B14" s="2" t="s">
        <v>72</v>
      </c>
      <c r="C14" s="2">
        <v>6761769.7400000002</v>
      </c>
      <c r="D14" s="2">
        <v>6823081.0999999996</v>
      </c>
      <c r="E14" s="2">
        <v>61311.360000000001</v>
      </c>
      <c r="F14" s="2">
        <v>-38538.01</v>
      </c>
      <c r="G14" s="2">
        <v>51636.639999999999</v>
      </c>
      <c r="H14" s="2">
        <v>74409.990000000005</v>
      </c>
      <c r="M14" s="4"/>
    </row>
    <row r="15" spans="1:13">
      <c r="A15" s="1" t="s">
        <v>39</v>
      </c>
      <c r="B15" s="2" t="s">
        <v>40</v>
      </c>
      <c r="C15" s="2">
        <v>6835247.3799999999</v>
      </c>
      <c r="D15" s="2">
        <v>6627608.1799999997</v>
      </c>
      <c r="E15" s="2">
        <v>-207639.2</v>
      </c>
      <c r="F15" s="2">
        <v>0</v>
      </c>
      <c r="G15" s="2">
        <v>0</v>
      </c>
      <c r="H15" s="2">
        <v>-207639.2</v>
      </c>
    </row>
    <row r="16" spans="1:13">
      <c r="A16" s="1" t="s">
        <v>35</v>
      </c>
      <c r="B16" s="2" t="s">
        <v>36</v>
      </c>
      <c r="C16" s="2">
        <v>6772547.3899999997</v>
      </c>
      <c r="D16" s="2">
        <v>6482926.0999999996</v>
      </c>
      <c r="E16" s="2">
        <v>-289621.28999999998</v>
      </c>
      <c r="F16" s="2">
        <v>939044.22</v>
      </c>
      <c r="G16" s="2">
        <v>34468.239999999998</v>
      </c>
      <c r="H16" s="2">
        <v>683891.17</v>
      </c>
    </row>
    <row r="17" spans="1:8">
      <c r="A17" s="1" t="s">
        <v>95</v>
      </c>
      <c r="B17" s="2" t="s">
        <v>96</v>
      </c>
      <c r="C17" s="2">
        <v>6755143.8700000001</v>
      </c>
      <c r="D17" s="2">
        <v>6114852.9400000004</v>
      </c>
      <c r="E17" s="2">
        <v>-640290.93000000005</v>
      </c>
      <c r="F17" s="2">
        <v>191312.07</v>
      </c>
      <c r="G17" s="2">
        <v>21071.66</v>
      </c>
      <c r="H17" s="2">
        <v>-427907.2</v>
      </c>
    </row>
    <row r="18" spans="1:8">
      <c r="A18" s="1" t="s">
        <v>107</v>
      </c>
      <c r="B18" s="2" t="s">
        <v>108</v>
      </c>
      <c r="C18" s="2">
        <v>6746118.8700000001</v>
      </c>
      <c r="D18" s="2">
        <v>6075945.75</v>
      </c>
      <c r="E18" s="2">
        <v>-670173.12</v>
      </c>
      <c r="F18" s="2">
        <v>427753.08</v>
      </c>
      <c r="G18" s="2">
        <v>40415.58</v>
      </c>
      <c r="H18" s="2">
        <v>-202004.46</v>
      </c>
    </row>
    <row r="19" spans="1:8">
      <c r="A19" s="1" t="s">
        <v>31</v>
      </c>
      <c r="B19" s="2" t="s">
        <v>32</v>
      </c>
      <c r="C19" s="2">
        <v>6779127.0599999996</v>
      </c>
      <c r="D19" s="2">
        <v>6045104.2199999997</v>
      </c>
      <c r="E19" s="2">
        <v>-734022.84</v>
      </c>
      <c r="F19" s="2">
        <v>1174234.8</v>
      </c>
      <c r="G19" s="2">
        <v>13862.1</v>
      </c>
      <c r="H19" s="2">
        <v>454074.06</v>
      </c>
    </row>
    <row r="20" spans="1:8">
      <c r="A20" s="1" t="s">
        <v>33</v>
      </c>
      <c r="B20" s="2" t="s">
        <v>34</v>
      </c>
      <c r="C20" s="2">
        <v>66198.89</v>
      </c>
      <c r="D20" s="2">
        <v>94756.12</v>
      </c>
      <c r="E20" s="2">
        <v>28557.23</v>
      </c>
      <c r="F20" s="2">
        <v>22696187.620000001</v>
      </c>
      <c r="G20" s="2">
        <v>37393.19</v>
      </c>
      <c r="H20" s="2">
        <v>22762138.039999999</v>
      </c>
    </row>
    <row r="21" spans="1:8">
      <c r="A21" s="1" t="s">
        <v>49</v>
      </c>
      <c r="B21" s="2" t="s">
        <v>50</v>
      </c>
      <c r="C21" s="2">
        <v>66484.97</v>
      </c>
      <c r="D21" s="2">
        <v>93025.8</v>
      </c>
      <c r="E21" s="2">
        <v>26540.83</v>
      </c>
      <c r="F21" s="2">
        <v>6104036.6299999999</v>
      </c>
      <c r="G21" s="2">
        <v>13493.63</v>
      </c>
      <c r="H21" s="2">
        <v>6144071.0899999999</v>
      </c>
    </row>
    <row r="22" spans="1:8">
      <c r="A22" s="1" t="s">
        <v>13</v>
      </c>
      <c r="B22" s="2" t="s">
        <v>14</v>
      </c>
      <c r="C22" s="2">
        <v>75476.649999999994</v>
      </c>
      <c r="D22" s="2">
        <v>82373.58</v>
      </c>
      <c r="E22" s="2">
        <v>6896.93</v>
      </c>
      <c r="F22" s="2">
        <v>651409.71</v>
      </c>
      <c r="G22" s="2">
        <v>50719.83</v>
      </c>
      <c r="H22" s="2">
        <v>709026.47</v>
      </c>
    </row>
    <row r="23" spans="1:8">
      <c r="A23" s="1" t="s">
        <v>11</v>
      </c>
      <c r="B23" s="2" t="s">
        <v>12</v>
      </c>
      <c r="C23" s="2">
        <v>75067.42</v>
      </c>
      <c r="D23" s="2">
        <v>81302.759999999995</v>
      </c>
      <c r="E23" s="2">
        <v>6235.34</v>
      </c>
      <c r="F23" s="2">
        <v>1543415.66</v>
      </c>
      <c r="G23" s="2">
        <v>45210.71</v>
      </c>
      <c r="H23" s="2">
        <v>1594861.71</v>
      </c>
    </row>
    <row r="24" spans="1:8">
      <c r="A24" s="1" t="s">
        <v>47</v>
      </c>
      <c r="B24" s="2" t="s">
        <v>48</v>
      </c>
      <c r="C24" s="2">
        <v>75229.100000000006</v>
      </c>
      <c r="D24" s="2">
        <v>77506.91</v>
      </c>
      <c r="E24" s="2">
        <v>2277.81</v>
      </c>
      <c r="F24" s="2">
        <v>521002.17</v>
      </c>
      <c r="G24" s="2">
        <v>43086.559999999998</v>
      </c>
      <c r="H24" s="2">
        <v>566366.54</v>
      </c>
    </row>
    <row r="25" spans="1:8">
      <c r="A25" s="1" t="s">
        <v>83</v>
      </c>
      <c r="B25" s="2" t="s">
        <v>84</v>
      </c>
      <c r="C25" s="2">
        <v>75064.44</v>
      </c>
      <c r="D25" s="2">
        <v>75356.160000000003</v>
      </c>
      <c r="E25" s="2">
        <v>291.72000000000003</v>
      </c>
      <c r="F25" s="2">
        <v>491853.56</v>
      </c>
      <c r="G25" s="2">
        <v>27886.68</v>
      </c>
      <c r="H25" s="2">
        <v>520031.96</v>
      </c>
    </row>
    <row r="26" spans="1:8">
      <c r="A26" s="1" t="s">
        <v>41</v>
      </c>
      <c r="B26" s="2" t="s">
        <v>42</v>
      </c>
      <c r="C26" s="2">
        <v>68178.84</v>
      </c>
      <c r="D26" s="2">
        <v>72875.66</v>
      </c>
      <c r="E26" s="2">
        <v>4696.82</v>
      </c>
      <c r="F26" s="2">
        <v>1487448.12</v>
      </c>
      <c r="G26" s="2">
        <v>0</v>
      </c>
      <c r="H26" s="2">
        <v>1492144.94</v>
      </c>
    </row>
    <row r="27" spans="1:8">
      <c r="A27" s="1" t="s">
        <v>43</v>
      </c>
      <c r="B27" s="2" t="s">
        <v>44</v>
      </c>
      <c r="C27" s="2">
        <v>74705.64</v>
      </c>
      <c r="D27" s="2">
        <v>70314.509999999995</v>
      </c>
      <c r="E27" s="2">
        <v>-4391.13</v>
      </c>
      <c r="F27" s="2">
        <v>-504438.53</v>
      </c>
      <c r="G27" s="2">
        <v>62206.18</v>
      </c>
      <c r="H27" s="2">
        <v>-446623.48</v>
      </c>
    </row>
    <row r="28" spans="1:8">
      <c r="A28" s="1" t="s">
        <v>111</v>
      </c>
      <c r="B28" s="2" t="s">
        <v>112</v>
      </c>
      <c r="C28" s="2">
        <v>66241.63</v>
      </c>
      <c r="D28" s="2">
        <v>65589.75</v>
      </c>
      <c r="E28" s="2">
        <v>-651.88</v>
      </c>
      <c r="F28" s="2">
        <v>6100958.3700000001</v>
      </c>
      <c r="G28" s="2">
        <v>0</v>
      </c>
      <c r="H28" s="2">
        <v>6100306.4900000002</v>
      </c>
    </row>
    <row r="29" spans="1:8">
      <c r="A29" s="1" t="s">
        <v>7</v>
      </c>
      <c r="B29" s="2" t="s">
        <v>8</v>
      </c>
      <c r="C29" s="2">
        <v>65180.45</v>
      </c>
      <c r="D29" s="2">
        <v>63852</v>
      </c>
      <c r="E29" s="2">
        <v>-1328.45</v>
      </c>
      <c r="F29" s="2">
        <v>797109.03</v>
      </c>
      <c r="G29" s="2">
        <v>27203.78</v>
      </c>
      <c r="H29" s="2">
        <v>822984.36</v>
      </c>
    </row>
    <row r="30" spans="1:8">
      <c r="A30" s="1" t="s">
        <v>45</v>
      </c>
      <c r="B30" s="2" t="s">
        <v>46</v>
      </c>
      <c r="C30" s="2">
        <v>52261</v>
      </c>
      <c r="D30" s="2">
        <v>60971.4</v>
      </c>
      <c r="E30" s="2">
        <v>8710.4</v>
      </c>
      <c r="F30" s="2">
        <v>1984610.61</v>
      </c>
      <c r="G30" s="2">
        <v>0</v>
      </c>
      <c r="H30" s="2">
        <v>1993321.01</v>
      </c>
    </row>
    <row r="31" spans="1:8">
      <c r="A31" s="1" t="s">
        <v>93</v>
      </c>
      <c r="B31" s="2" t="s">
        <v>94</v>
      </c>
      <c r="C31" s="2">
        <v>49939.85</v>
      </c>
      <c r="D31" s="2">
        <v>55119.96</v>
      </c>
      <c r="E31" s="2">
        <v>5180.1099999999997</v>
      </c>
      <c r="F31" s="2">
        <v>1427592.08</v>
      </c>
      <c r="G31" s="2">
        <v>16759.080000000002</v>
      </c>
      <c r="H31" s="2">
        <v>1449531.27</v>
      </c>
    </row>
    <row r="32" spans="1:8">
      <c r="A32" s="1" t="s">
        <v>99</v>
      </c>
      <c r="B32" s="2" t="s">
        <v>100</v>
      </c>
      <c r="C32" s="2">
        <v>30399.3</v>
      </c>
      <c r="D32" s="2">
        <v>34537.440000000002</v>
      </c>
      <c r="E32" s="2">
        <v>4138.1400000000003</v>
      </c>
      <c r="F32" s="2">
        <v>1255922.17</v>
      </c>
      <c r="G32" s="2">
        <v>87515.35</v>
      </c>
      <c r="H32" s="2">
        <v>1347575.66</v>
      </c>
    </row>
    <row r="33" spans="1:8">
      <c r="A33" s="1" t="s">
        <v>65</v>
      </c>
      <c r="B33" s="2" t="s">
        <v>66</v>
      </c>
      <c r="C33" s="2">
        <v>30146.43</v>
      </c>
      <c r="D33" s="2">
        <v>30678.09</v>
      </c>
      <c r="E33" s="2">
        <v>531.66</v>
      </c>
      <c r="F33" s="2">
        <v>1013158.3</v>
      </c>
      <c r="G33" s="2">
        <v>66487.05</v>
      </c>
      <c r="H33" s="2">
        <v>1080177.01</v>
      </c>
    </row>
    <row r="34" spans="1:8">
      <c r="A34" s="1" t="s">
        <v>81</v>
      </c>
      <c r="B34" s="2" t="s">
        <v>82</v>
      </c>
      <c r="C34" s="2">
        <v>30287.94</v>
      </c>
      <c r="D34" s="2">
        <v>29594.880000000001</v>
      </c>
      <c r="E34" s="2">
        <v>-693.06</v>
      </c>
      <c r="F34" s="2">
        <v>169989.63</v>
      </c>
      <c r="G34" s="2">
        <v>57133.01</v>
      </c>
      <c r="H34" s="2">
        <v>226429.58</v>
      </c>
    </row>
    <row r="35" spans="1:8">
      <c r="A35" s="1" t="s">
        <v>73</v>
      </c>
      <c r="B35" s="2" t="s">
        <v>74</v>
      </c>
      <c r="C35" s="2">
        <v>0</v>
      </c>
      <c r="D35" s="2">
        <v>0</v>
      </c>
      <c r="E35" s="2">
        <v>0</v>
      </c>
      <c r="F35" s="2">
        <v>-1044891.49</v>
      </c>
      <c r="G35" s="2">
        <v>0</v>
      </c>
      <c r="H35" s="2">
        <v>-1044891.49</v>
      </c>
    </row>
    <row r="36" spans="1:8">
      <c r="A36" s="1" t="s">
        <v>69</v>
      </c>
      <c r="B36" s="2" t="s">
        <v>70</v>
      </c>
      <c r="C36" s="2">
        <v>0</v>
      </c>
      <c r="D36" s="2">
        <v>0</v>
      </c>
      <c r="E36" s="2">
        <v>0</v>
      </c>
      <c r="F36" s="2">
        <v>3070973.54</v>
      </c>
      <c r="G36" s="2">
        <v>44274.25</v>
      </c>
      <c r="H36" s="2">
        <v>3115247.79</v>
      </c>
    </row>
    <row r="37" spans="1:8">
      <c r="A37" s="1" t="s">
        <v>59</v>
      </c>
      <c r="B37" s="2" t="s">
        <v>60</v>
      </c>
      <c r="C37" s="2">
        <v>0</v>
      </c>
      <c r="D37" s="2">
        <v>0</v>
      </c>
      <c r="E37" s="2">
        <v>0</v>
      </c>
      <c r="F37" s="2">
        <v>-43425.17</v>
      </c>
      <c r="G37" s="2">
        <v>7222.11</v>
      </c>
      <c r="H37" s="2">
        <v>-36203.06</v>
      </c>
    </row>
    <row r="38" spans="1:8">
      <c r="A38" s="1" t="s">
        <v>89</v>
      </c>
      <c r="B38" s="2" t="s">
        <v>90</v>
      </c>
      <c r="C38" s="2">
        <v>0</v>
      </c>
      <c r="D38" s="2">
        <v>0</v>
      </c>
      <c r="E38" s="2">
        <v>0</v>
      </c>
      <c r="F38" s="2">
        <v>3874392.32</v>
      </c>
      <c r="G38" s="2">
        <v>11577.75</v>
      </c>
      <c r="H38" s="2">
        <v>3885970.07</v>
      </c>
    </row>
    <row r="39" spans="1:8">
      <c r="A39" s="1" t="s">
        <v>183</v>
      </c>
      <c r="B39" s="2" t="s">
        <v>184</v>
      </c>
      <c r="C39" s="2">
        <v>0</v>
      </c>
      <c r="D39" s="2">
        <v>0</v>
      </c>
      <c r="E39" s="2">
        <v>0</v>
      </c>
      <c r="F39" s="2">
        <v>107693.26</v>
      </c>
      <c r="G39" s="2">
        <v>3523.32</v>
      </c>
      <c r="H39" s="2">
        <v>111216.58</v>
      </c>
    </row>
    <row r="40" spans="1:8">
      <c r="A40" s="1" t="s">
        <v>185</v>
      </c>
      <c r="B40" s="2" t="s">
        <v>186</v>
      </c>
      <c r="C40" s="2">
        <v>0</v>
      </c>
      <c r="D40" s="2">
        <v>0</v>
      </c>
      <c r="E40" s="2">
        <v>0</v>
      </c>
      <c r="F40" s="2">
        <v>-171912.29</v>
      </c>
      <c r="G40" s="2">
        <v>13622.78</v>
      </c>
      <c r="H40" s="2">
        <v>-158289.51</v>
      </c>
    </row>
    <row r="41" spans="1:8">
      <c r="A41" s="1" t="s">
        <v>187</v>
      </c>
      <c r="B41" s="2" t="s">
        <v>188</v>
      </c>
      <c r="C41" s="2">
        <v>0</v>
      </c>
      <c r="D41" s="2">
        <v>0</v>
      </c>
      <c r="E41" s="2">
        <v>0</v>
      </c>
      <c r="F41" s="2">
        <v>-325697.15000000002</v>
      </c>
      <c r="G41" s="2">
        <v>17393.5</v>
      </c>
      <c r="H41" s="2">
        <v>-308303.65000000002</v>
      </c>
    </row>
    <row r="42" spans="1:8">
      <c r="A42" s="1" t="s">
        <v>91</v>
      </c>
      <c r="B42" s="2" t="s">
        <v>92</v>
      </c>
      <c r="C42" s="2">
        <v>0</v>
      </c>
      <c r="D42" s="2">
        <v>0</v>
      </c>
      <c r="E42" s="2">
        <v>0</v>
      </c>
      <c r="F42" s="2">
        <v>31613</v>
      </c>
      <c r="G42" s="2">
        <v>179.76</v>
      </c>
      <c r="H42" s="2">
        <v>31792.76</v>
      </c>
    </row>
    <row r="43" spans="1:8">
      <c r="A43" s="1" t="s">
        <v>189</v>
      </c>
      <c r="B43" s="2" t="s">
        <v>190</v>
      </c>
      <c r="C43" s="2">
        <v>0</v>
      </c>
      <c r="D43" s="2">
        <v>0</v>
      </c>
      <c r="E43" s="2">
        <v>0</v>
      </c>
      <c r="F43" s="2">
        <v>-191786.13</v>
      </c>
      <c r="G43" s="2">
        <v>65569.7</v>
      </c>
      <c r="H43" s="2">
        <v>-126216.43</v>
      </c>
    </row>
    <row r="44" spans="1:8">
      <c r="A44" s="1" t="s">
        <v>191</v>
      </c>
      <c r="B44" s="2" t="s">
        <v>192</v>
      </c>
      <c r="C44" s="2">
        <v>0</v>
      </c>
      <c r="D44" s="2">
        <v>0</v>
      </c>
      <c r="E44" s="2">
        <v>0</v>
      </c>
      <c r="F44" s="2">
        <v>-60873.48</v>
      </c>
      <c r="G44" s="2">
        <v>5271.79</v>
      </c>
      <c r="H44" s="2">
        <v>-55601.69</v>
      </c>
    </row>
    <row r="45" spans="1:8">
      <c r="A45" s="1" t="s">
        <v>193</v>
      </c>
      <c r="B45" s="2" t="s">
        <v>194</v>
      </c>
      <c r="C45" s="2">
        <v>0</v>
      </c>
      <c r="D45" s="2">
        <v>0</v>
      </c>
      <c r="E45" s="2">
        <v>0</v>
      </c>
      <c r="F45" s="2">
        <v>-117038.91</v>
      </c>
      <c r="G45" s="2">
        <v>21477.63</v>
      </c>
      <c r="H45" s="2">
        <v>-95561.279999999999</v>
      </c>
    </row>
    <row r="46" spans="1:8">
      <c r="A46" s="1" t="s">
        <v>195</v>
      </c>
      <c r="B46" s="2" t="s">
        <v>196</v>
      </c>
      <c r="C46" s="2">
        <v>0</v>
      </c>
      <c r="D46" s="2">
        <v>0</v>
      </c>
      <c r="E46" s="2">
        <v>0</v>
      </c>
      <c r="F46" s="2">
        <v>963816.48</v>
      </c>
      <c r="G46" s="2">
        <v>17632.66</v>
      </c>
      <c r="H46" s="2">
        <v>981449.14</v>
      </c>
    </row>
    <row r="47" spans="1:8">
      <c r="A47" s="1" t="s">
        <v>197</v>
      </c>
      <c r="B47" s="2" t="s">
        <v>198</v>
      </c>
      <c r="C47" s="2">
        <v>0</v>
      </c>
      <c r="D47" s="2">
        <v>0</v>
      </c>
      <c r="E47" s="2">
        <v>0</v>
      </c>
      <c r="F47" s="2">
        <v>-65231.76</v>
      </c>
      <c r="G47" s="2">
        <v>0</v>
      </c>
      <c r="H47" s="2">
        <v>-65231.76</v>
      </c>
    </row>
    <row r="48" spans="1:8">
      <c r="A48" s="1" t="s">
        <v>63</v>
      </c>
      <c r="B48" s="2" t="s">
        <v>64</v>
      </c>
      <c r="C48" s="2">
        <v>0</v>
      </c>
      <c r="D48" s="2">
        <v>0</v>
      </c>
      <c r="E48" s="2">
        <v>0</v>
      </c>
      <c r="F48" s="2">
        <v>19053908.949999999</v>
      </c>
      <c r="G48" s="2">
        <v>0</v>
      </c>
      <c r="H48" s="2">
        <v>19053908.949999999</v>
      </c>
    </row>
    <row r="49" spans="1:8">
      <c r="A49" s="1" t="s">
        <v>199</v>
      </c>
      <c r="B49" s="2" t="s">
        <v>200</v>
      </c>
      <c r="C49" s="2">
        <v>0</v>
      </c>
      <c r="D49" s="2">
        <v>0</v>
      </c>
      <c r="E49" s="2">
        <v>0</v>
      </c>
      <c r="F49" s="2">
        <v>821182.25</v>
      </c>
      <c r="G49" s="2">
        <v>0</v>
      </c>
      <c r="H49" s="2">
        <v>821182.25</v>
      </c>
    </row>
    <row r="50" spans="1:8">
      <c r="A50" s="1" t="s">
        <v>201</v>
      </c>
      <c r="B50" s="2" t="s">
        <v>202</v>
      </c>
      <c r="C50" s="2">
        <v>0</v>
      </c>
      <c r="D50" s="2">
        <v>0</v>
      </c>
      <c r="E50" s="2">
        <v>0</v>
      </c>
      <c r="F50" s="2">
        <v>3273.54</v>
      </c>
      <c r="G50" s="2">
        <v>0</v>
      </c>
      <c r="H50" s="2">
        <v>3273.54</v>
      </c>
    </row>
    <row r="51" spans="1:8">
      <c r="A51" s="1" t="s">
        <v>203</v>
      </c>
      <c r="B51" s="2" t="s">
        <v>204</v>
      </c>
      <c r="C51" s="2">
        <v>0</v>
      </c>
      <c r="D51" s="2">
        <v>0</v>
      </c>
      <c r="E51" s="2">
        <v>0</v>
      </c>
      <c r="F51" s="2">
        <v>-2256574.1800000002</v>
      </c>
      <c r="G51" s="2">
        <v>0</v>
      </c>
      <c r="H51" s="2">
        <v>-2256574.1800000002</v>
      </c>
    </row>
    <row r="52" spans="1:8">
      <c r="A52" s="1" t="s">
        <v>205</v>
      </c>
      <c r="B52" s="2" t="s">
        <v>206</v>
      </c>
      <c r="C52" s="2">
        <v>0</v>
      </c>
      <c r="D52" s="2">
        <v>0</v>
      </c>
      <c r="E52" s="2">
        <v>0</v>
      </c>
      <c r="F52" s="2">
        <v>464619.01</v>
      </c>
      <c r="G52" s="2">
        <v>57492.02</v>
      </c>
      <c r="H52" s="2">
        <v>522111.03</v>
      </c>
    </row>
    <row r="53" spans="1:8">
      <c r="A53" s="1" t="s">
        <v>207</v>
      </c>
      <c r="B53" s="2" t="s">
        <v>208</v>
      </c>
      <c r="C53" s="2">
        <v>0</v>
      </c>
      <c r="D53" s="2">
        <v>0</v>
      </c>
      <c r="E53" s="2">
        <v>0</v>
      </c>
      <c r="F53" s="2">
        <v>-144379.22</v>
      </c>
      <c r="G53" s="2">
        <v>10274.61</v>
      </c>
      <c r="H53" s="2">
        <v>-134104.60999999999</v>
      </c>
    </row>
    <row r="54" spans="1:8">
      <c r="A54" s="1" t="s">
        <v>209</v>
      </c>
      <c r="B54" s="2" t="s">
        <v>210</v>
      </c>
      <c r="C54" s="2">
        <v>0</v>
      </c>
      <c r="D54" s="2">
        <v>0</v>
      </c>
      <c r="E54" s="2">
        <v>0</v>
      </c>
      <c r="F54" s="2">
        <v>925427.09</v>
      </c>
      <c r="G54" s="2">
        <v>57754.23</v>
      </c>
      <c r="H54" s="2">
        <v>983181.32</v>
      </c>
    </row>
    <row r="55" spans="1:8">
      <c r="A55" s="1" t="s">
        <v>211</v>
      </c>
      <c r="B55" s="2" t="s">
        <v>212</v>
      </c>
      <c r="C55" s="2">
        <v>0</v>
      </c>
      <c r="D55" s="2">
        <v>0</v>
      </c>
      <c r="E55" s="2">
        <v>0</v>
      </c>
      <c r="F55" s="2">
        <v>-606765.43999999994</v>
      </c>
      <c r="G55" s="2">
        <v>82751.679999999993</v>
      </c>
      <c r="H55" s="2">
        <v>-524013.76</v>
      </c>
    </row>
    <row r="56" spans="1:8">
      <c r="A56" s="1" t="s">
        <v>213</v>
      </c>
      <c r="B56" s="2" t="s">
        <v>214</v>
      </c>
      <c r="C56" s="2">
        <v>0</v>
      </c>
      <c r="D56" s="2">
        <v>0</v>
      </c>
      <c r="E56" s="2">
        <v>0</v>
      </c>
      <c r="F56" s="2">
        <v>577403.39</v>
      </c>
      <c r="G56" s="2">
        <v>38298.480000000003</v>
      </c>
      <c r="H56" s="2">
        <v>615701.87</v>
      </c>
    </row>
    <row r="57" spans="1:8">
      <c r="A57" s="1" t="s">
        <v>215</v>
      </c>
      <c r="B57" s="2" t="s">
        <v>216</v>
      </c>
      <c r="C57" s="2">
        <v>0</v>
      </c>
      <c r="D57" s="2">
        <v>0</v>
      </c>
      <c r="E57" s="2">
        <v>0</v>
      </c>
      <c r="F57" s="2">
        <v>1086586.92</v>
      </c>
      <c r="G57" s="2">
        <v>44166</v>
      </c>
      <c r="H57" s="2">
        <v>1130752.92</v>
      </c>
    </row>
    <row r="58" spans="1:8">
      <c r="A58" s="1" t="s">
        <v>217</v>
      </c>
      <c r="B58" s="2" t="s">
        <v>218</v>
      </c>
      <c r="C58" s="2">
        <v>0</v>
      </c>
      <c r="D58" s="2">
        <v>0</v>
      </c>
      <c r="E58" s="2">
        <v>0</v>
      </c>
      <c r="F58" s="2">
        <v>154220.32</v>
      </c>
      <c r="G58" s="2">
        <v>31588.18</v>
      </c>
      <c r="H58" s="2">
        <v>185808.5</v>
      </c>
    </row>
    <row r="59" spans="1:8">
      <c r="A59" s="1" t="s">
        <v>219</v>
      </c>
      <c r="B59" s="2" t="s">
        <v>220</v>
      </c>
      <c r="C59" s="2">
        <v>0</v>
      </c>
      <c r="D59" s="2">
        <v>0</v>
      </c>
      <c r="E59" s="2">
        <v>0</v>
      </c>
      <c r="F59" s="2">
        <v>2942851.89</v>
      </c>
      <c r="G59" s="2">
        <v>9126.2999999999993</v>
      </c>
      <c r="H59" s="2">
        <v>2951978.19</v>
      </c>
    </row>
    <row r="60" spans="1:8">
      <c r="A60" s="1" t="s">
        <v>221</v>
      </c>
      <c r="B60" s="2" t="s">
        <v>222</v>
      </c>
      <c r="C60" s="2">
        <v>0</v>
      </c>
      <c r="D60" s="2">
        <v>0</v>
      </c>
      <c r="E60" s="2">
        <v>0</v>
      </c>
      <c r="F60" s="2">
        <v>-91205.55</v>
      </c>
      <c r="G60" s="2">
        <v>22421.119999999999</v>
      </c>
      <c r="H60" s="2">
        <v>-68784.429999999993</v>
      </c>
    </row>
    <row r="61" spans="1:8">
      <c r="A61" s="1" t="s">
        <v>223</v>
      </c>
      <c r="B61" s="2" t="s">
        <v>224</v>
      </c>
      <c r="C61" s="2">
        <v>0</v>
      </c>
      <c r="D61" s="2">
        <v>0</v>
      </c>
      <c r="E61" s="2">
        <v>0</v>
      </c>
      <c r="F61" s="2">
        <v>2262376.11</v>
      </c>
      <c r="G61" s="2">
        <v>27891.27</v>
      </c>
      <c r="H61" s="2">
        <v>2290267.38</v>
      </c>
    </row>
    <row r="62" spans="1:8">
      <c r="A62" s="1" t="s">
        <v>225</v>
      </c>
      <c r="B62" s="2" t="s">
        <v>226</v>
      </c>
      <c r="C62" s="2">
        <v>0</v>
      </c>
      <c r="D62" s="2">
        <v>0</v>
      </c>
      <c r="E62" s="2">
        <v>0</v>
      </c>
      <c r="F62" s="2">
        <v>45664.66</v>
      </c>
      <c r="G62" s="2">
        <v>0</v>
      </c>
      <c r="H62" s="2">
        <v>45664.66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1AD03-E384-4EA5-82E5-9DD83A46109A}">
  <dimension ref="A1:L228"/>
  <sheetViews>
    <sheetView workbookViewId="0">
      <selection activeCell="N4" sqref="N4"/>
    </sheetView>
  </sheetViews>
  <sheetFormatPr defaultRowHeight="16.5"/>
  <cols>
    <col min="1" max="1" width="10.5" style="8" customWidth="1"/>
    <col min="2" max="2" width="17.75" style="8" customWidth="1"/>
    <col min="3" max="3" width="10.5" style="8" customWidth="1"/>
    <col min="4" max="4" width="6.5" style="8" customWidth="1"/>
    <col min="5" max="5" width="15.75" style="8" customWidth="1"/>
    <col min="6" max="6" width="22.25" style="8" customWidth="1"/>
    <col min="7" max="7" width="6.875" style="8" customWidth="1"/>
    <col min="8" max="8" width="11.75" style="8" customWidth="1"/>
    <col min="9" max="12" width="15.75" style="8" customWidth="1"/>
    <col min="13" max="16384" width="9" style="8"/>
  </cols>
  <sheetData>
    <row r="1" spans="1:12" ht="12.75" customHeight="1">
      <c r="A1" s="7" t="s">
        <v>129</v>
      </c>
      <c r="B1" s="7" t="s">
        <v>130</v>
      </c>
      <c r="C1" s="7" t="s">
        <v>131</v>
      </c>
      <c r="D1" s="7" t="s">
        <v>132</v>
      </c>
      <c r="E1" s="7" t="s">
        <v>133</v>
      </c>
      <c r="F1" s="7" t="s">
        <v>134</v>
      </c>
      <c r="G1" s="7" t="s">
        <v>135</v>
      </c>
      <c r="H1" s="7" t="s">
        <v>136</v>
      </c>
      <c r="I1" s="7" t="s">
        <v>137</v>
      </c>
      <c r="J1" s="7" t="s">
        <v>138</v>
      </c>
      <c r="K1" s="7" t="s">
        <v>139</v>
      </c>
      <c r="L1" s="7" t="s">
        <v>140</v>
      </c>
    </row>
    <row r="2" spans="1:12" ht="16.5" customHeight="1">
      <c r="A2" s="9" t="s">
        <v>141</v>
      </c>
      <c r="B2" s="9" t="s">
        <v>142</v>
      </c>
      <c r="C2" s="9" t="s">
        <v>143</v>
      </c>
      <c r="D2" s="9" t="s">
        <v>144</v>
      </c>
      <c r="E2" s="9" t="s">
        <v>7</v>
      </c>
      <c r="F2" s="9" t="s">
        <v>8</v>
      </c>
      <c r="G2" s="10">
        <v>44728</v>
      </c>
      <c r="H2" s="11">
        <v>315.53890000000001</v>
      </c>
      <c r="I2" s="12">
        <v>14114318.48</v>
      </c>
      <c r="J2" s="12">
        <v>0</v>
      </c>
      <c r="K2" s="12">
        <v>0</v>
      </c>
      <c r="L2" s="12">
        <v>0</v>
      </c>
    </row>
    <row r="3" spans="1:12" ht="16.5" customHeight="1">
      <c r="A3" s="9" t="s">
        <v>141</v>
      </c>
      <c r="B3" s="9" t="s">
        <v>142</v>
      </c>
      <c r="C3" s="9" t="s">
        <v>143</v>
      </c>
      <c r="D3" s="9" t="s">
        <v>144</v>
      </c>
      <c r="E3" s="9" t="s">
        <v>33</v>
      </c>
      <c r="F3" s="9" t="s">
        <v>34</v>
      </c>
      <c r="G3" s="10">
        <v>405</v>
      </c>
      <c r="H3" s="11">
        <v>296.84458999999998</v>
      </c>
      <c r="I3" s="12">
        <v>120230.16</v>
      </c>
      <c r="J3" s="12">
        <v>0</v>
      </c>
      <c r="K3" s="12">
        <v>0</v>
      </c>
      <c r="L3" s="12">
        <v>0</v>
      </c>
    </row>
    <row r="4" spans="1:12" ht="16.5" customHeight="1">
      <c r="A4" s="9" t="s">
        <v>141</v>
      </c>
      <c r="B4" s="9" t="s">
        <v>142</v>
      </c>
      <c r="C4" s="9" t="s">
        <v>143</v>
      </c>
      <c r="D4" s="9" t="s">
        <v>144</v>
      </c>
      <c r="E4" s="9" t="s">
        <v>111</v>
      </c>
      <c r="F4" s="9" t="s">
        <v>112</v>
      </c>
      <c r="G4" s="10">
        <v>78762</v>
      </c>
      <c r="H4" s="11">
        <v>172.4462</v>
      </c>
      <c r="I4" s="12">
        <v>13583782.84</v>
      </c>
      <c r="J4" s="12">
        <v>0</v>
      </c>
      <c r="K4" s="12">
        <v>0</v>
      </c>
      <c r="L4" s="12">
        <v>0</v>
      </c>
    </row>
    <row r="5" spans="1:12" ht="16.5" customHeight="1">
      <c r="A5" s="9" t="s">
        <v>141</v>
      </c>
      <c r="B5" s="9" t="s">
        <v>142</v>
      </c>
      <c r="C5" s="9" t="s">
        <v>143</v>
      </c>
      <c r="D5" s="9" t="s">
        <v>144</v>
      </c>
      <c r="E5" s="9" t="s">
        <v>41</v>
      </c>
      <c r="F5" s="9" t="s">
        <v>42</v>
      </c>
      <c r="G5" s="10">
        <v>1124</v>
      </c>
      <c r="H5" s="11">
        <v>247.3553</v>
      </c>
      <c r="I5" s="12">
        <v>278049.84000000003</v>
      </c>
      <c r="J5" s="12">
        <v>0</v>
      </c>
      <c r="K5" s="12">
        <v>0</v>
      </c>
      <c r="L5" s="12">
        <v>0</v>
      </c>
    </row>
    <row r="6" spans="1:12" ht="16.5" customHeight="1">
      <c r="A6" s="9" t="s">
        <v>141</v>
      </c>
      <c r="B6" s="9" t="s">
        <v>142</v>
      </c>
      <c r="C6" s="9" t="s">
        <v>143</v>
      </c>
      <c r="D6" s="9" t="s">
        <v>144</v>
      </c>
      <c r="E6" s="9" t="s">
        <v>49</v>
      </c>
      <c r="F6" s="9" t="s">
        <v>50</v>
      </c>
      <c r="G6" s="10">
        <v>11793</v>
      </c>
      <c r="H6" s="11">
        <v>179.30529999999999</v>
      </c>
      <c r="I6" s="12">
        <v>2114783.2599999998</v>
      </c>
      <c r="J6" s="12">
        <v>0</v>
      </c>
      <c r="K6" s="12">
        <v>0</v>
      </c>
      <c r="L6" s="12">
        <v>0</v>
      </c>
    </row>
    <row r="7" spans="1:12" ht="16.5" customHeight="1">
      <c r="A7" s="9" t="s">
        <v>141</v>
      </c>
      <c r="B7" s="9" t="s">
        <v>146</v>
      </c>
      <c r="C7" s="9" t="s">
        <v>143</v>
      </c>
      <c r="D7" s="9" t="s">
        <v>144</v>
      </c>
      <c r="E7" s="9" t="s">
        <v>13</v>
      </c>
      <c r="F7" s="9" t="s">
        <v>14</v>
      </c>
      <c r="G7" s="10">
        <v>54440</v>
      </c>
      <c r="H7" s="11">
        <v>271.90589999999997</v>
      </c>
      <c r="I7" s="12">
        <v>14804190.4</v>
      </c>
      <c r="J7" s="12">
        <v>0</v>
      </c>
      <c r="K7" s="12">
        <v>0</v>
      </c>
      <c r="L7" s="12">
        <v>0</v>
      </c>
    </row>
    <row r="8" spans="1:12" ht="16.5" customHeight="1">
      <c r="A8" s="9" t="s">
        <v>141</v>
      </c>
      <c r="B8" s="9" t="s">
        <v>146</v>
      </c>
      <c r="C8" s="9" t="s">
        <v>143</v>
      </c>
      <c r="D8" s="9" t="s">
        <v>144</v>
      </c>
      <c r="E8" s="9" t="s">
        <v>9</v>
      </c>
      <c r="F8" s="9" t="s">
        <v>10</v>
      </c>
      <c r="G8" s="10">
        <v>34659</v>
      </c>
      <c r="H8" s="11">
        <v>227.9871</v>
      </c>
      <c r="I8" s="12">
        <v>7902844.6699999999</v>
      </c>
      <c r="J8" s="12">
        <v>0</v>
      </c>
      <c r="K8" s="12">
        <v>0</v>
      </c>
      <c r="L8" s="12">
        <v>0</v>
      </c>
    </row>
    <row r="9" spans="1:12" ht="16.5" customHeight="1">
      <c r="A9" s="9" t="s">
        <v>141</v>
      </c>
      <c r="B9" s="9" t="s">
        <v>146</v>
      </c>
      <c r="C9" s="9" t="s">
        <v>143</v>
      </c>
      <c r="D9" s="9" t="s">
        <v>144</v>
      </c>
      <c r="E9" s="9" t="s">
        <v>69</v>
      </c>
      <c r="F9" s="9" t="s">
        <v>70</v>
      </c>
      <c r="G9" s="10">
        <v>109516</v>
      </c>
      <c r="H9" s="11">
        <v>138.2766</v>
      </c>
      <c r="I9" s="12">
        <v>15146785.609999999</v>
      </c>
      <c r="J9" s="12">
        <v>0</v>
      </c>
      <c r="K9" s="12">
        <v>0</v>
      </c>
      <c r="L9" s="12">
        <v>0</v>
      </c>
    </row>
    <row r="10" spans="1:12" ht="16.5" customHeight="1">
      <c r="A10" s="9" t="s">
        <v>141</v>
      </c>
      <c r="B10" s="9" t="s">
        <v>146</v>
      </c>
      <c r="C10" s="9" t="s">
        <v>143</v>
      </c>
      <c r="D10" s="9" t="s">
        <v>144</v>
      </c>
      <c r="E10" s="9" t="s">
        <v>15</v>
      </c>
      <c r="F10" s="9" t="s">
        <v>16</v>
      </c>
      <c r="G10" s="10">
        <v>23115</v>
      </c>
      <c r="H10" s="11">
        <v>351.39150000000001</v>
      </c>
      <c r="I10" s="12">
        <v>8123107.9699999997</v>
      </c>
      <c r="J10" s="12">
        <v>0</v>
      </c>
      <c r="K10" s="12">
        <v>0</v>
      </c>
      <c r="L10" s="12">
        <v>0</v>
      </c>
    </row>
    <row r="11" spans="1:12" ht="16.5" customHeight="1">
      <c r="A11" s="9" t="s">
        <v>141</v>
      </c>
      <c r="B11" s="9" t="s">
        <v>146</v>
      </c>
      <c r="C11" s="9" t="s">
        <v>143</v>
      </c>
      <c r="D11" s="9" t="s">
        <v>144</v>
      </c>
      <c r="E11" s="9" t="s">
        <v>95</v>
      </c>
      <c r="F11" s="9" t="s">
        <v>96</v>
      </c>
      <c r="G11" s="10">
        <v>9277</v>
      </c>
      <c r="H11" s="11">
        <v>857.04989999999998</v>
      </c>
      <c r="I11" s="12">
        <v>7951130.2300000004</v>
      </c>
      <c r="J11" s="12">
        <v>0</v>
      </c>
      <c r="K11" s="12">
        <v>0</v>
      </c>
      <c r="L11" s="12">
        <v>0</v>
      </c>
    </row>
    <row r="12" spans="1:12" ht="16.5" customHeight="1">
      <c r="A12" s="9" t="s">
        <v>141</v>
      </c>
      <c r="B12" s="9" t="s">
        <v>146</v>
      </c>
      <c r="C12" s="9" t="s">
        <v>143</v>
      </c>
      <c r="D12" s="9" t="s">
        <v>144</v>
      </c>
      <c r="E12" s="9" t="s">
        <v>7</v>
      </c>
      <c r="F12" s="9" t="s">
        <v>8</v>
      </c>
      <c r="G12" s="10">
        <v>47284</v>
      </c>
      <c r="H12" s="11">
        <v>315.4898</v>
      </c>
      <c r="I12" s="12">
        <v>14919038.220000001</v>
      </c>
      <c r="J12" s="12">
        <v>0</v>
      </c>
      <c r="K12" s="12">
        <v>0</v>
      </c>
      <c r="L12" s="12">
        <v>0</v>
      </c>
    </row>
    <row r="13" spans="1:12" ht="16.5" customHeight="1">
      <c r="A13" s="9" t="s">
        <v>141</v>
      </c>
      <c r="B13" s="9" t="s">
        <v>146</v>
      </c>
      <c r="C13" s="9" t="s">
        <v>143</v>
      </c>
      <c r="D13" s="9" t="s">
        <v>144</v>
      </c>
      <c r="E13" s="9" t="s">
        <v>35</v>
      </c>
      <c r="F13" s="9" t="s">
        <v>36</v>
      </c>
      <c r="G13" s="10">
        <v>16542</v>
      </c>
      <c r="H13" s="11">
        <v>474.90769999999998</v>
      </c>
      <c r="I13" s="12">
        <v>7856419.4299999997</v>
      </c>
      <c r="J13" s="12">
        <v>0</v>
      </c>
      <c r="K13" s="12">
        <v>0</v>
      </c>
      <c r="L13" s="12">
        <v>0</v>
      </c>
    </row>
    <row r="14" spans="1:12" ht="16.5" customHeight="1">
      <c r="A14" s="9" t="s">
        <v>141</v>
      </c>
      <c r="B14" s="9" t="s">
        <v>146</v>
      </c>
      <c r="C14" s="9" t="s">
        <v>143</v>
      </c>
      <c r="D14" s="9" t="s">
        <v>144</v>
      </c>
      <c r="E14" s="9" t="s">
        <v>37</v>
      </c>
      <c r="F14" s="9" t="s">
        <v>38</v>
      </c>
      <c r="G14" s="10">
        <v>42895</v>
      </c>
      <c r="H14" s="11">
        <v>190.0068</v>
      </c>
      <c r="I14" s="12">
        <v>8151628.54</v>
      </c>
      <c r="J14" s="12">
        <v>0</v>
      </c>
      <c r="K14" s="12">
        <v>0</v>
      </c>
      <c r="L14" s="12">
        <v>0</v>
      </c>
    </row>
    <row r="15" spans="1:12" ht="16.5" customHeight="1">
      <c r="A15" s="9" t="s">
        <v>141</v>
      </c>
      <c r="B15" s="9" t="s">
        <v>146</v>
      </c>
      <c r="C15" s="9" t="s">
        <v>143</v>
      </c>
      <c r="D15" s="9" t="s">
        <v>144</v>
      </c>
      <c r="E15" s="9" t="s">
        <v>39</v>
      </c>
      <c r="F15" s="9" t="s">
        <v>40</v>
      </c>
      <c r="G15" s="10">
        <v>18955</v>
      </c>
      <c r="H15" s="11">
        <v>437.81439999999998</v>
      </c>
      <c r="I15" s="12">
        <v>8299340.5999999996</v>
      </c>
      <c r="J15" s="12">
        <v>0</v>
      </c>
      <c r="K15" s="12">
        <v>0</v>
      </c>
      <c r="L15" s="12">
        <v>0</v>
      </c>
    </row>
    <row r="16" spans="1:12" ht="16.5" customHeight="1">
      <c r="A16" s="9" t="s">
        <v>141</v>
      </c>
      <c r="B16" s="9" t="s">
        <v>146</v>
      </c>
      <c r="C16" s="9" t="s">
        <v>143</v>
      </c>
      <c r="D16" s="9" t="s">
        <v>144</v>
      </c>
      <c r="E16" s="9" t="s">
        <v>31</v>
      </c>
      <c r="F16" s="9" t="s">
        <v>32</v>
      </c>
      <c r="G16" s="10">
        <v>12120</v>
      </c>
      <c r="H16" s="11">
        <v>652.79240000000004</v>
      </c>
      <c r="I16" s="12">
        <v>7912207.4900000002</v>
      </c>
      <c r="J16" s="12">
        <v>0</v>
      </c>
      <c r="K16" s="12">
        <v>0</v>
      </c>
      <c r="L16" s="12">
        <v>0</v>
      </c>
    </row>
    <row r="17" spans="1:12" ht="16.5" customHeight="1">
      <c r="A17" s="9" t="s">
        <v>141</v>
      </c>
      <c r="B17" s="9" t="s">
        <v>146</v>
      </c>
      <c r="C17" s="9" t="s">
        <v>147</v>
      </c>
      <c r="D17" s="9" t="s">
        <v>144</v>
      </c>
      <c r="E17" s="9" t="s">
        <v>71</v>
      </c>
      <c r="F17" s="9" t="s">
        <v>72</v>
      </c>
      <c r="G17" s="10">
        <v>13915</v>
      </c>
      <c r="H17" s="11">
        <v>491.9776</v>
      </c>
      <c r="I17" s="12">
        <v>6845450.8499999996</v>
      </c>
      <c r="J17" s="12">
        <v>485.93387000000001</v>
      </c>
      <c r="K17" s="12">
        <v>6761769.7400000002</v>
      </c>
      <c r="L17" s="12">
        <v>83681.11</v>
      </c>
    </row>
    <row r="18" spans="1:12" ht="16.5" customHeight="1">
      <c r="A18" s="9" t="s">
        <v>141</v>
      </c>
      <c r="B18" s="9" t="s">
        <v>146</v>
      </c>
      <c r="C18" s="9" t="s">
        <v>147</v>
      </c>
      <c r="D18" s="9" t="s">
        <v>144</v>
      </c>
      <c r="E18" s="9" t="s">
        <v>85</v>
      </c>
      <c r="F18" s="9" t="s">
        <v>86</v>
      </c>
      <c r="G18" s="10">
        <v>13590</v>
      </c>
      <c r="H18" s="11">
        <v>500.14870000000002</v>
      </c>
      <c r="I18" s="12">
        <v>6796613.1299999999</v>
      </c>
      <c r="J18" s="12">
        <v>500.01159999999999</v>
      </c>
      <c r="K18" s="12">
        <v>6795157.7000000002</v>
      </c>
      <c r="L18" s="12">
        <v>1455.43</v>
      </c>
    </row>
    <row r="19" spans="1:12" ht="16.5" customHeight="1">
      <c r="A19" s="9" t="s">
        <v>141</v>
      </c>
      <c r="B19" s="9" t="s">
        <v>146</v>
      </c>
      <c r="C19" s="9" t="s">
        <v>147</v>
      </c>
      <c r="D19" s="9" t="s">
        <v>144</v>
      </c>
      <c r="E19" s="9" t="s">
        <v>107</v>
      </c>
      <c r="F19" s="9" t="s">
        <v>108</v>
      </c>
      <c r="G19" s="10">
        <v>25225</v>
      </c>
      <c r="H19" s="11">
        <v>243.60339999999999</v>
      </c>
      <c r="I19" s="12">
        <v>6144139.0199999996</v>
      </c>
      <c r="J19" s="12">
        <v>267.43781000000001</v>
      </c>
      <c r="K19" s="12">
        <v>6746118.8700000001</v>
      </c>
      <c r="L19" s="12">
        <v>-601979.85</v>
      </c>
    </row>
    <row r="20" spans="1:12" ht="16.5" customHeight="1">
      <c r="A20" s="9" t="s">
        <v>141</v>
      </c>
      <c r="B20" s="9" t="s">
        <v>149</v>
      </c>
      <c r="C20" s="9" t="s">
        <v>143</v>
      </c>
      <c r="D20" s="9" t="s">
        <v>144</v>
      </c>
      <c r="E20" s="9" t="s">
        <v>13</v>
      </c>
      <c r="F20" s="9" t="s">
        <v>14</v>
      </c>
      <c r="G20" s="10">
        <v>36784</v>
      </c>
      <c r="H20" s="11">
        <v>272.86739999999998</v>
      </c>
      <c r="I20" s="12">
        <v>10038074.039999999</v>
      </c>
      <c r="J20" s="12">
        <v>0</v>
      </c>
      <c r="K20" s="12">
        <v>0</v>
      </c>
      <c r="L20" s="12">
        <v>0</v>
      </c>
    </row>
    <row r="21" spans="1:12" ht="16.5" customHeight="1">
      <c r="A21" s="9" t="s">
        <v>141</v>
      </c>
      <c r="B21" s="9" t="s">
        <v>149</v>
      </c>
      <c r="C21" s="9" t="s">
        <v>143</v>
      </c>
      <c r="D21" s="9" t="s">
        <v>144</v>
      </c>
      <c r="E21" s="9" t="s">
        <v>11</v>
      </c>
      <c r="F21" s="9" t="s">
        <v>12</v>
      </c>
      <c r="G21" s="10">
        <v>48707</v>
      </c>
      <c r="H21" s="11">
        <v>207.71440000000001</v>
      </c>
      <c r="I21" s="12">
        <v>10118362.960000001</v>
      </c>
      <c r="J21" s="12">
        <v>0</v>
      </c>
      <c r="K21" s="12">
        <v>0</v>
      </c>
      <c r="L21" s="12">
        <v>0</v>
      </c>
    </row>
    <row r="22" spans="1:12" ht="16.5" customHeight="1">
      <c r="A22" s="9" t="s">
        <v>141</v>
      </c>
      <c r="B22" s="9" t="s">
        <v>149</v>
      </c>
      <c r="C22" s="9" t="s">
        <v>143</v>
      </c>
      <c r="D22" s="9" t="s">
        <v>144</v>
      </c>
      <c r="E22" s="9" t="s">
        <v>83</v>
      </c>
      <c r="F22" s="9" t="s">
        <v>84</v>
      </c>
      <c r="G22" s="10">
        <v>17517</v>
      </c>
      <c r="H22" s="11">
        <v>563.86159999999995</v>
      </c>
      <c r="I22" s="12">
        <v>9877601.5800000001</v>
      </c>
      <c r="J22" s="12">
        <v>0</v>
      </c>
      <c r="K22" s="12">
        <v>0</v>
      </c>
      <c r="L22" s="12">
        <v>0</v>
      </c>
    </row>
    <row r="23" spans="1:12" ht="16.5" customHeight="1">
      <c r="A23" s="9" t="s">
        <v>141</v>
      </c>
      <c r="B23" s="9" t="s">
        <v>149</v>
      </c>
      <c r="C23" s="9" t="s">
        <v>143</v>
      </c>
      <c r="D23" s="9" t="s">
        <v>144</v>
      </c>
      <c r="E23" s="9" t="s">
        <v>43</v>
      </c>
      <c r="F23" s="9" t="s">
        <v>44</v>
      </c>
      <c r="G23" s="10">
        <v>30861</v>
      </c>
      <c r="H23" s="11">
        <v>326.94170000000003</v>
      </c>
      <c r="I23" s="12">
        <v>10090519.33</v>
      </c>
      <c r="J23" s="12">
        <v>0</v>
      </c>
      <c r="K23" s="12">
        <v>0</v>
      </c>
      <c r="L23" s="12">
        <v>0</v>
      </c>
    </row>
    <row r="24" spans="1:12" ht="16.5" customHeight="1">
      <c r="A24" s="9" t="s">
        <v>141</v>
      </c>
      <c r="B24" s="9" t="s">
        <v>149</v>
      </c>
      <c r="C24" s="9" t="s">
        <v>143</v>
      </c>
      <c r="D24" s="9" t="s">
        <v>144</v>
      </c>
      <c r="E24" s="9" t="s">
        <v>47</v>
      </c>
      <c r="F24" s="9" t="s">
        <v>48</v>
      </c>
      <c r="G24" s="10">
        <v>28514</v>
      </c>
      <c r="H24" s="11">
        <v>346.63159999999999</v>
      </c>
      <c r="I24" s="12">
        <v>9884566.2899999991</v>
      </c>
      <c r="J24" s="12">
        <v>0</v>
      </c>
      <c r="K24" s="12">
        <v>0</v>
      </c>
      <c r="L24" s="12">
        <v>0</v>
      </c>
    </row>
    <row r="25" spans="1:12" ht="16.5" customHeight="1">
      <c r="A25" s="9" t="s">
        <v>141</v>
      </c>
      <c r="B25" s="9" t="s">
        <v>150</v>
      </c>
      <c r="C25" s="9" t="s">
        <v>143</v>
      </c>
      <c r="D25" s="9" t="s">
        <v>144</v>
      </c>
      <c r="E25" s="9" t="s">
        <v>93</v>
      </c>
      <c r="F25" s="9" t="s">
        <v>94</v>
      </c>
      <c r="G25" s="10">
        <v>27592</v>
      </c>
      <c r="H25" s="11">
        <v>179.655</v>
      </c>
      <c r="I25" s="12">
        <v>4957592.5999999996</v>
      </c>
      <c r="J25" s="12">
        <v>0</v>
      </c>
      <c r="K25" s="12">
        <v>0</v>
      </c>
      <c r="L25" s="12">
        <v>0</v>
      </c>
    </row>
    <row r="26" spans="1:12" ht="16.5" customHeight="1">
      <c r="A26" s="9" t="s">
        <v>141</v>
      </c>
      <c r="B26" s="9" t="s">
        <v>150</v>
      </c>
      <c r="C26" s="9" t="s">
        <v>143</v>
      </c>
      <c r="D26" s="9" t="s">
        <v>144</v>
      </c>
      <c r="E26" s="9" t="s">
        <v>45</v>
      </c>
      <c r="F26" s="9" t="s">
        <v>46</v>
      </c>
      <c r="G26" s="10">
        <v>1800</v>
      </c>
      <c r="H26" s="11">
        <v>202.24600000000001</v>
      </c>
      <c r="I26" s="12">
        <v>364078.8</v>
      </c>
      <c r="J26" s="12">
        <v>0</v>
      </c>
      <c r="K26" s="12">
        <v>0</v>
      </c>
      <c r="L26" s="12">
        <v>0</v>
      </c>
    </row>
    <row r="27" spans="1:12" ht="16.5" customHeight="1">
      <c r="A27" s="9" t="s">
        <v>141</v>
      </c>
      <c r="B27" s="9" t="s">
        <v>151</v>
      </c>
      <c r="C27" s="9" t="s">
        <v>143</v>
      </c>
      <c r="D27" s="9" t="s">
        <v>144</v>
      </c>
      <c r="E27" s="9" t="s">
        <v>81</v>
      </c>
      <c r="F27" s="9" t="s">
        <v>82</v>
      </c>
      <c r="G27" s="10">
        <v>6488</v>
      </c>
      <c r="H27" s="11">
        <v>158.00120000000001</v>
      </c>
      <c r="I27" s="12">
        <v>1025241.55</v>
      </c>
      <c r="J27" s="12">
        <v>0</v>
      </c>
      <c r="K27" s="12">
        <v>0</v>
      </c>
      <c r="L27" s="12">
        <v>0</v>
      </c>
    </row>
    <row r="28" spans="1:12" ht="16.5" customHeight="1">
      <c r="A28" s="9" t="s">
        <v>141</v>
      </c>
      <c r="B28" s="9" t="s">
        <v>151</v>
      </c>
      <c r="C28" s="9" t="s">
        <v>143</v>
      </c>
      <c r="D28" s="9" t="s">
        <v>144</v>
      </c>
      <c r="E28" s="9" t="s">
        <v>99</v>
      </c>
      <c r="F28" s="9" t="s">
        <v>100</v>
      </c>
      <c r="G28" s="10">
        <v>15664</v>
      </c>
      <c r="H28" s="11">
        <v>65.504000000000005</v>
      </c>
      <c r="I28" s="12">
        <v>1026367.94</v>
      </c>
      <c r="J28" s="12">
        <v>0</v>
      </c>
      <c r="K28" s="12">
        <v>0</v>
      </c>
      <c r="L28" s="12">
        <v>0</v>
      </c>
    </row>
    <row r="29" spans="1:12" ht="16.5" customHeight="1">
      <c r="A29" s="9" t="s">
        <v>141</v>
      </c>
      <c r="B29" s="9" t="s">
        <v>151</v>
      </c>
      <c r="C29" s="9" t="s">
        <v>143</v>
      </c>
      <c r="D29" s="9" t="s">
        <v>144</v>
      </c>
      <c r="E29" s="9" t="s">
        <v>65</v>
      </c>
      <c r="F29" s="9" t="s">
        <v>66</v>
      </c>
      <c r="G29" s="10">
        <v>16918</v>
      </c>
      <c r="H29" s="11">
        <v>60.416499999999999</v>
      </c>
      <c r="I29" s="12">
        <v>1022464.71</v>
      </c>
      <c r="J29" s="12">
        <v>0</v>
      </c>
      <c r="K29" s="12">
        <v>0</v>
      </c>
      <c r="L29" s="12">
        <v>0</v>
      </c>
    </row>
    <row r="30" spans="1:12" ht="16.5" customHeight="1">
      <c r="A30" s="9" t="s">
        <v>141</v>
      </c>
      <c r="B30" s="9" t="s">
        <v>152</v>
      </c>
      <c r="C30" s="9" t="s">
        <v>143</v>
      </c>
      <c r="D30" s="9" t="s">
        <v>144</v>
      </c>
      <c r="E30" s="9" t="s">
        <v>81</v>
      </c>
      <c r="F30" s="9" t="s">
        <v>82</v>
      </c>
      <c r="G30" s="10">
        <v>6488</v>
      </c>
      <c r="H30" s="11">
        <v>158.0067</v>
      </c>
      <c r="I30" s="12">
        <v>1025277.23</v>
      </c>
      <c r="J30" s="12">
        <v>0</v>
      </c>
      <c r="K30" s="12">
        <v>0</v>
      </c>
      <c r="L30" s="12">
        <v>0</v>
      </c>
    </row>
    <row r="31" spans="1:12" ht="16.5" customHeight="1">
      <c r="A31" s="9" t="s">
        <v>141</v>
      </c>
      <c r="B31" s="9" t="s">
        <v>152</v>
      </c>
      <c r="C31" s="9" t="s">
        <v>143</v>
      </c>
      <c r="D31" s="9" t="s">
        <v>144</v>
      </c>
      <c r="E31" s="9" t="s">
        <v>99</v>
      </c>
      <c r="F31" s="9" t="s">
        <v>100</v>
      </c>
      <c r="G31" s="10">
        <v>15664</v>
      </c>
      <c r="H31" s="11">
        <v>65.573800000000006</v>
      </c>
      <c r="I31" s="12">
        <v>1027461.28</v>
      </c>
      <c r="J31" s="12">
        <v>0</v>
      </c>
      <c r="K31" s="12">
        <v>0</v>
      </c>
      <c r="L31" s="12">
        <v>0</v>
      </c>
    </row>
    <row r="32" spans="1:12" ht="16.5" customHeight="1">
      <c r="A32" s="9" t="s">
        <v>141</v>
      </c>
      <c r="B32" s="9" t="s">
        <v>152</v>
      </c>
      <c r="C32" s="9" t="s">
        <v>143</v>
      </c>
      <c r="D32" s="9" t="s">
        <v>144</v>
      </c>
      <c r="E32" s="9" t="s">
        <v>65</v>
      </c>
      <c r="F32" s="9" t="s">
        <v>66</v>
      </c>
      <c r="G32" s="10">
        <v>16918</v>
      </c>
      <c r="H32" s="11">
        <v>60.522599999999997</v>
      </c>
      <c r="I32" s="12">
        <v>1024259.71</v>
      </c>
      <c r="J32" s="12">
        <v>0</v>
      </c>
      <c r="K32" s="12">
        <v>0</v>
      </c>
      <c r="L32" s="12">
        <v>0</v>
      </c>
    </row>
    <row r="33" spans="1:12" ht="16.5" customHeight="1">
      <c r="A33" s="9" t="s">
        <v>145</v>
      </c>
      <c r="B33" s="9" t="s">
        <v>142</v>
      </c>
      <c r="C33" s="9" t="s">
        <v>143</v>
      </c>
      <c r="D33" s="9" t="s">
        <v>144</v>
      </c>
      <c r="E33" s="9" t="s">
        <v>7</v>
      </c>
      <c r="F33" s="9" t="s">
        <v>8</v>
      </c>
      <c r="G33" s="10">
        <v>19039</v>
      </c>
      <c r="H33" s="11">
        <v>316.57780000000002</v>
      </c>
      <c r="I33" s="12">
        <v>6027705.5099999998</v>
      </c>
      <c r="J33" s="12">
        <v>0</v>
      </c>
      <c r="K33" s="12">
        <v>0</v>
      </c>
      <c r="L33" s="12">
        <v>0</v>
      </c>
    </row>
    <row r="34" spans="1:12" ht="16.5" customHeight="1">
      <c r="A34" s="9" t="s">
        <v>145</v>
      </c>
      <c r="B34" s="9" t="s">
        <v>142</v>
      </c>
      <c r="C34" s="9" t="s">
        <v>143</v>
      </c>
      <c r="D34" s="9" t="s">
        <v>144</v>
      </c>
      <c r="E34" s="9" t="s">
        <v>33</v>
      </c>
      <c r="F34" s="9" t="s">
        <v>34</v>
      </c>
      <c r="G34" s="10">
        <v>63408</v>
      </c>
      <c r="H34" s="11">
        <v>313.37759999999997</v>
      </c>
      <c r="I34" s="12">
        <v>19871915.02</v>
      </c>
      <c r="J34" s="12">
        <v>0</v>
      </c>
      <c r="K34" s="12">
        <v>0</v>
      </c>
      <c r="L34" s="12">
        <v>0</v>
      </c>
    </row>
    <row r="35" spans="1:12" ht="16.5" customHeight="1">
      <c r="A35" s="9" t="s">
        <v>145</v>
      </c>
      <c r="B35" s="9" t="s">
        <v>142</v>
      </c>
      <c r="C35" s="9" t="s">
        <v>143</v>
      </c>
      <c r="D35" s="9" t="s">
        <v>144</v>
      </c>
      <c r="E35" s="9" t="s">
        <v>111</v>
      </c>
      <c r="F35" s="9" t="s">
        <v>112</v>
      </c>
      <c r="G35" s="10">
        <v>35744</v>
      </c>
      <c r="H35" s="11">
        <v>174.25739999999999</v>
      </c>
      <c r="I35" s="12">
        <v>6229371.3899999997</v>
      </c>
      <c r="J35" s="12">
        <v>0</v>
      </c>
      <c r="K35" s="12">
        <v>0</v>
      </c>
      <c r="L35" s="12">
        <v>0</v>
      </c>
    </row>
    <row r="36" spans="1:12" ht="16.5" customHeight="1">
      <c r="A36" s="9" t="s">
        <v>145</v>
      </c>
      <c r="B36" s="9" t="s">
        <v>142</v>
      </c>
      <c r="C36" s="9" t="s">
        <v>143</v>
      </c>
      <c r="D36" s="9" t="s">
        <v>144</v>
      </c>
      <c r="E36" s="9" t="s">
        <v>41</v>
      </c>
      <c r="F36" s="9" t="s">
        <v>42</v>
      </c>
      <c r="G36" s="10">
        <v>72664</v>
      </c>
      <c r="H36" s="11">
        <v>271.98090000000002</v>
      </c>
      <c r="I36" s="12">
        <v>19764673.399999999</v>
      </c>
      <c r="J36" s="12">
        <v>0</v>
      </c>
      <c r="K36" s="12">
        <v>0</v>
      </c>
      <c r="L36" s="12">
        <v>0</v>
      </c>
    </row>
    <row r="37" spans="1:12" ht="16.5" customHeight="1">
      <c r="A37" s="9" t="s">
        <v>145</v>
      </c>
      <c r="B37" s="9" t="s">
        <v>142</v>
      </c>
      <c r="C37" s="9" t="s">
        <v>143</v>
      </c>
      <c r="D37" s="9" t="s">
        <v>144</v>
      </c>
      <c r="E37" s="9" t="s">
        <v>49</v>
      </c>
      <c r="F37" s="9" t="s">
        <v>50</v>
      </c>
      <c r="G37" s="10">
        <v>95898</v>
      </c>
      <c r="H37" s="11">
        <v>187.69589999999999</v>
      </c>
      <c r="I37" s="12">
        <v>18001579.379999999</v>
      </c>
      <c r="J37" s="12">
        <v>0</v>
      </c>
      <c r="K37" s="12">
        <v>0</v>
      </c>
      <c r="L37" s="12">
        <v>0</v>
      </c>
    </row>
    <row r="38" spans="1:12" ht="16.5" customHeight="1">
      <c r="A38" s="9" t="s">
        <v>145</v>
      </c>
      <c r="B38" s="9" t="s">
        <v>146</v>
      </c>
      <c r="C38" s="9" t="s">
        <v>143</v>
      </c>
      <c r="D38" s="9" t="s">
        <v>144</v>
      </c>
      <c r="E38" s="9" t="s">
        <v>13</v>
      </c>
      <c r="F38" s="9" t="s">
        <v>14</v>
      </c>
      <c r="G38" s="10">
        <v>36899</v>
      </c>
      <c r="H38" s="11">
        <v>268.25380000000001</v>
      </c>
      <c r="I38" s="12">
        <v>9899034.9499999993</v>
      </c>
      <c r="J38" s="12">
        <v>0</v>
      </c>
      <c r="K38" s="12">
        <v>0</v>
      </c>
      <c r="L38" s="12">
        <v>0</v>
      </c>
    </row>
    <row r="39" spans="1:12" ht="16.5" customHeight="1">
      <c r="A39" s="9" t="s">
        <v>145</v>
      </c>
      <c r="B39" s="9" t="s">
        <v>146</v>
      </c>
      <c r="C39" s="9" t="s">
        <v>143</v>
      </c>
      <c r="D39" s="9" t="s">
        <v>144</v>
      </c>
      <c r="E39" s="9" t="s">
        <v>69</v>
      </c>
      <c r="F39" s="9" t="s">
        <v>70</v>
      </c>
      <c r="G39" s="10">
        <v>71577</v>
      </c>
      <c r="H39" s="11">
        <v>140.53559999999999</v>
      </c>
      <c r="I39" s="12">
        <v>10060548.18</v>
      </c>
      <c r="J39" s="12">
        <v>0</v>
      </c>
      <c r="K39" s="12">
        <v>0</v>
      </c>
      <c r="L39" s="12">
        <v>0</v>
      </c>
    </row>
    <row r="40" spans="1:12" ht="16.5" customHeight="1">
      <c r="A40" s="9" t="s">
        <v>145</v>
      </c>
      <c r="B40" s="9" t="s">
        <v>146</v>
      </c>
      <c r="C40" s="9" t="s">
        <v>143</v>
      </c>
      <c r="D40" s="9" t="s">
        <v>144</v>
      </c>
      <c r="E40" s="9" t="s">
        <v>15</v>
      </c>
      <c r="F40" s="9" t="s">
        <v>16</v>
      </c>
      <c r="G40" s="10">
        <v>28767</v>
      </c>
      <c r="H40" s="11">
        <v>342.1789</v>
      </c>
      <c r="I40" s="12">
        <v>9844035.7599999998</v>
      </c>
      <c r="J40" s="12">
        <v>0</v>
      </c>
      <c r="K40" s="12">
        <v>0</v>
      </c>
      <c r="L40" s="12">
        <v>0</v>
      </c>
    </row>
    <row r="41" spans="1:12" ht="16.5" customHeight="1">
      <c r="A41" s="9" t="s">
        <v>145</v>
      </c>
      <c r="B41" s="9" t="s">
        <v>146</v>
      </c>
      <c r="C41" s="9" t="s">
        <v>143</v>
      </c>
      <c r="D41" s="9" t="s">
        <v>144</v>
      </c>
      <c r="E41" s="9" t="s">
        <v>95</v>
      </c>
      <c r="F41" s="9" t="s">
        <v>96</v>
      </c>
      <c r="G41" s="10">
        <v>11703</v>
      </c>
      <c r="H41" s="11">
        <v>874.86260000000004</v>
      </c>
      <c r="I41" s="12">
        <v>10238809.59</v>
      </c>
      <c r="J41" s="12">
        <v>0</v>
      </c>
      <c r="K41" s="12">
        <v>0</v>
      </c>
      <c r="L41" s="12">
        <v>0</v>
      </c>
    </row>
    <row r="42" spans="1:12" ht="16.5" customHeight="1">
      <c r="A42" s="9" t="s">
        <v>145</v>
      </c>
      <c r="B42" s="9" t="s">
        <v>146</v>
      </c>
      <c r="C42" s="9" t="s">
        <v>143</v>
      </c>
      <c r="D42" s="9" t="s">
        <v>144</v>
      </c>
      <c r="E42" s="9" t="s">
        <v>7</v>
      </c>
      <c r="F42" s="9" t="s">
        <v>8</v>
      </c>
      <c r="G42" s="10">
        <v>31731</v>
      </c>
      <c r="H42" s="11">
        <v>316.55810000000002</v>
      </c>
      <c r="I42" s="12">
        <v>10045498.35</v>
      </c>
      <c r="J42" s="12">
        <v>0</v>
      </c>
      <c r="K42" s="12">
        <v>0</v>
      </c>
      <c r="L42" s="12">
        <v>0</v>
      </c>
    </row>
    <row r="43" spans="1:12" ht="16.5" customHeight="1">
      <c r="A43" s="9" t="s">
        <v>145</v>
      </c>
      <c r="B43" s="9" t="s">
        <v>146</v>
      </c>
      <c r="C43" s="9" t="s">
        <v>143</v>
      </c>
      <c r="D43" s="9" t="s">
        <v>144</v>
      </c>
      <c r="E43" s="9" t="s">
        <v>35</v>
      </c>
      <c r="F43" s="9" t="s">
        <v>36</v>
      </c>
      <c r="G43" s="10">
        <v>21144</v>
      </c>
      <c r="H43" s="11">
        <v>474.01409999999998</v>
      </c>
      <c r="I43" s="12">
        <v>10023082.73</v>
      </c>
      <c r="J43" s="12">
        <v>0</v>
      </c>
      <c r="K43" s="12">
        <v>0</v>
      </c>
      <c r="L43" s="12">
        <v>0</v>
      </c>
    </row>
    <row r="44" spans="1:12" ht="16.5" customHeight="1">
      <c r="A44" s="9" t="s">
        <v>145</v>
      </c>
      <c r="B44" s="9" t="s">
        <v>146</v>
      </c>
      <c r="C44" s="9" t="s">
        <v>143</v>
      </c>
      <c r="D44" s="9" t="s">
        <v>144</v>
      </c>
      <c r="E44" s="9" t="s">
        <v>37</v>
      </c>
      <c r="F44" s="9" t="s">
        <v>38</v>
      </c>
      <c r="G44" s="10">
        <v>52952</v>
      </c>
      <c r="H44" s="11">
        <v>189.16749999999999</v>
      </c>
      <c r="I44" s="12">
        <v>10018121.26</v>
      </c>
      <c r="J44" s="12">
        <v>0</v>
      </c>
      <c r="K44" s="12">
        <v>0</v>
      </c>
      <c r="L44" s="12">
        <v>0</v>
      </c>
    </row>
    <row r="45" spans="1:12" ht="16.5" customHeight="1">
      <c r="A45" s="9" t="s">
        <v>145</v>
      </c>
      <c r="B45" s="9" t="s">
        <v>146</v>
      </c>
      <c r="C45" s="9" t="s">
        <v>143</v>
      </c>
      <c r="D45" s="9" t="s">
        <v>144</v>
      </c>
      <c r="E45" s="9" t="s">
        <v>39</v>
      </c>
      <c r="F45" s="9" t="s">
        <v>40</v>
      </c>
      <c r="G45" s="10">
        <v>22744</v>
      </c>
      <c r="H45" s="11">
        <v>442.46530000000001</v>
      </c>
      <c r="I45" s="12">
        <v>10063999.380000001</v>
      </c>
      <c r="J45" s="12">
        <v>0</v>
      </c>
      <c r="K45" s="12">
        <v>0</v>
      </c>
      <c r="L45" s="12">
        <v>0</v>
      </c>
    </row>
    <row r="46" spans="1:12" ht="16.5" customHeight="1">
      <c r="A46" s="9" t="s">
        <v>145</v>
      </c>
      <c r="B46" s="9" t="s">
        <v>146</v>
      </c>
      <c r="C46" s="9" t="s">
        <v>143</v>
      </c>
      <c r="D46" s="9" t="s">
        <v>144</v>
      </c>
      <c r="E46" s="9" t="s">
        <v>31</v>
      </c>
      <c r="F46" s="9" t="s">
        <v>32</v>
      </c>
      <c r="G46" s="10">
        <v>15375</v>
      </c>
      <c r="H46" s="11">
        <v>661.03639999999996</v>
      </c>
      <c r="I46" s="12">
        <v>10163819.029999999</v>
      </c>
      <c r="J46" s="12">
        <v>0</v>
      </c>
      <c r="K46" s="12">
        <v>0</v>
      </c>
      <c r="L46" s="12">
        <v>0</v>
      </c>
    </row>
    <row r="47" spans="1:12" ht="16.5" customHeight="1">
      <c r="A47" s="9" t="s">
        <v>145</v>
      </c>
      <c r="B47" s="9" t="s">
        <v>149</v>
      </c>
      <c r="C47" s="9" t="s">
        <v>143</v>
      </c>
      <c r="D47" s="9" t="s">
        <v>144</v>
      </c>
      <c r="E47" s="9" t="s">
        <v>13</v>
      </c>
      <c r="F47" s="9" t="s">
        <v>14</v>
      </c>
      <c r="G47" s="10">
        <v>36899</v>
      </c>
      <c r="H47" s="11">
        <v>268.33730000000003</v>
      </c>
      <c r="I47" s="12">
        <v>9902300.5099999998</v>
      </c>
      <c r="J47" s="12">
        <v>0</v>
      </c>
      <c r="K47" s="12">
        <v>0</v>
      </c>
      <c r="L47" s="12">
        <v>0</v>
      </c>
    </row>
    <row r="48" spans="1:12" ht="16.5" customHeight="1">
      <c r="A48" s="9" t="s">
        <v>145</v>
      </c>
      <c r="B48" s="9" t="s">
        <v>149</v>
      </c>
      <c r="C48" s="9" t="s">
        <v>143</v>
      </c>
      <c r="D48" s="9" t="s">
        <v>144</v>
      </c>
      <c r="E48" s="9" t="s">
        <v>11</v>
      </c>
      <c r="F48" s="9" t="s">
        <v>12</v>
      </c>
      <c r="G48" s="10">
        <v>47815</v>
      </c>
      <c r="H48" s="11">
        <v>211.6275</v>
      </c>
      <c r="I48" s="12">
        <v>10120164.289999999</v>
      </c>
      <c r="J48" s="12">
        <v>0</v>
      </c>
      <c r="K48" s="12">
        <v>0</v>
      </c>
      <c r="L48" s="12">
        <v>0</v>
      </c>
    </row>
    <row r="49" spans="1:12" ht="16.5" customHeight="1">
      <c r="A49" s="9" t="s">
        <v>145</v>
      </c>
      <c r="B49" s="9" t="s">
        <v>149</v>
      </c>
      <c r="C49" s="9" t="s">
        <v>143</v>
      </c>
      <c r="D49" s="9" t="s">
        <v>144</v>
      </c>
      <c r="E49" s="9" t="s">
        <v>83</v>
      </c>
      <c r="F49" s="9" t="s">
        <v>84</v>
      </c>
      <c r="G49" s="10">
        <v>17758</v>
      </c>
      <c r="H49" s="11">
        <v>572.19839999999999</v>
      </c>
      <c r="I49" s="12">
        <v>10161543.140000001</v>
      </c>
      <c r="J49" s="12">
        <v>0</v>
      </c>
      <c r="K49" s="12">
        <v>0</v>
      </c>
      <c r="L49" s="12">
        <v>0</v>
      </c>
    </row>
    <row r="50" spans="1:12" ht="16.5" customHeight="1">
      <c r="A50" s="9" t="s">
        <v>145</v>
      </c>
      <c r="B50" s="9" t="s">
        <v>149</v>
      </c>
      <c r="C50" s="9" t="s">
        <v>143</v>
      </c>
      <c r="D50" s="9" t="s">
        <v>144</v>
      </c>
      <c r="E50" s="9" t="s">
        <v>43</v>
      </c>
      <c r="F50" s="9" t="s">
        <v>44</v>
      </c>
      <c r="G50" s="10">
        <v>30503</v>
      </c>
      <c r="H50" s="11">
        <v>330.95780000000002</v>
      </c>
      <c r="I50" s="12">
        <v>10095815.83</v>
      </c>
      <c r="J50" s="12">
        <v>0</v>
      </c>
      <c r="K50" s="12">
        <v>0</v>
      </c>
      <c r="L50" s="12">
        <v>0</v>
      </c>
    </row>
    <row r="51" spans="1:12" ht="16.5" customHeight="1">
      <c r="A51" s="9" t="s">
        <v>145</v>
      </c>
      <c r="B51" s="9" t="s">
        <v>149</v>
      </c>
      <c r="C51" s="9" t="s">
        <v>143</v>
      </c>
      <c r="D51" s="9" t="s">
        <v>144</v>
      </c>
      <c r="E51" s="9" t="s">
        <v>47</v>
      </c>
      <c r="F51" s="9" t="s">
        <v>48</v>
      </c>
      <c r="G51" s="10">
        <v>28862</v>
      </c>
      <c r="H51" s="11">
        <v>354.41680000000002</v>
      </c>
      <c r="I51" s="12">
        <v>10229754.92</v>
      </c>
      <c r="J51" s="12">
        <v>0</v>
      </c>
      <c r="K51" s="12">
        <v>0</v>
      </c>
      <c r="L51" s="12">
        <v>0</v>
      </c>
    </row>
    <row r="52" spans="1:12" ht="16.5" customHeight="1">
      <c r="A52" s="9" t="s">
        <v>145</v>
      </c>
      <c r="B52" s="9" t="s">
        <v>150</v>
      </c>
      <c r="C52" s="9" t="s">
        <v>143</v>
      </c>
      <c r="D52" s="9" t="s">
        <v>144</v>
      </c>
      <c r="E52" s="9" t="s">
        <v>93</v>
      </c>
      <c r="F52" s="9" t="s">
        <v>94</v>
      </c>
      <c r="G52" s="10">
        <v>26186</v>
      </c>
      <c r="H52" s="11">
        <v>193.50469000000001</v>
      </c>
      <c r="I52" s="12">
        <v>5067768.38</v>
      </c>
      <c r="J52" s="12">
        <v>0</v>
      </c>
      <c r="K52" s="12">
        <v>0</v>
      </c>
      <c r="L52" s="12">
        <v>0</v>
      </c>
    </row>
    <row r="53" spans="1:12" ht="16.5" customHeight="1">
      <c r="A53" s="9" t="s">
        <v>145</v>
      </c>
      <c r="B53" s="9" t="s">
        <v>150</v>
      </c>
      <c r="C53" s="9" t="s">
        <v>143</v>
      </c>
      <c r="D53" s="9" t="s">
        <v>144</v>
      </c>
      <c r="E53" s="9" t="s">
        <v>45</v>
      </c>
      <c r="F53" s="9" t="s">
        <v>46</v>
      </c>
      <c r="G53" s="10">
        <v>32141</v>
      </c>
      <c r="H53" s="11">
        <v>217.48849000000001</v>
      </c>
      <c r="I53" s="12">
        <v>6991100.9299999997</v>
      </c>
      <c r="J53" s="12">
        <v>0</v>
      </c>
      <c r="K53" s="12">
        <v>0</v>
      </c>
      <c r="L53" s="12">
        <v>0</v>
      </c>
    </row>
    <row r="54" spans="1:12" ht="16.5" customHeight="1">
      <c r="A54" s="9" t="s">
        <v>145</v>
      </c>
      <c r="B54" s="9" t="s">
        <v>151</v>
      </c>
      <c r="C54" s="9" t="s">
        <v>143</v>
      </c>
      <c r="D54" s="9" t="s">
        <v>144</v>
      </c>
      <c r="E54" s="9" t="s">
        <v>81</v>
      </c>
      <c r="F54" s="9" t="s">
        <v>82</v>
      </c>
      <c r="G54" s="10">
        <v>6297</v>
      </c>
      <c r="H54" s="11">
        <v>162.71850000000001</v>
      </c>
      <c r="I54" s="12">
        <v>1024827.3</v>
      </c>
      <c r="J54" s="12">
        <v>0</v>
      </c>
      <c r="K54" s="12">
        <v>0</v>
      </c>
      <c r="L54" s="12">
        <v>0</v>
      </c>
    </row>
    <row r="55" spans="1:12" ht="16.5" customHeight="1">
      <c r="A55" s="9" t="s">
        <v>145</v>
      </c>
      <c r="B55" s="9" t="s">
        <v>151</v>
      </c>
      <c r="C55" s="9" t="s">
        <v>143</v>
      </c>
      <c r="D55" s="9" t="s">
        <v>144</v>
      </c>
      <c r="E55" s="9" t="s">
        <v>99</v>
      </c>
      <c r="F55" s="9" t="s">
        <v>100</v>
      </c>
      <c r="G55" s="10">
        <v>15209</v>
      </c>
      <c r="H55" s="11">
        <v>68.098600000000005</v>
      </c>
      <c r="I55" s="12">
        <v>1036167.88</v>
      </c>
      <c r="J55" s="12">
        <v>0</v>
      </c>
      <c r="K55" s="12">
        <v>0</v>
      </c>
      <c r="L55" s="12">
        <v>0</v>
      </c>
    </row>
    <row r="56" spans="1:12" ht="16.5" customHeight="1">
      <c r="A56" s="9" t="s">
        <v>145</v>
      </c>
      <c r="B56" s="9" t="s">
        <v>151</v>
      </c>
      <c r="C56" s="9" t="s">
        <v>143</v>
      </c>
      <c r="D56" s="9" t="s">
        <v>144</v>
      </c>
      <c r="E56" s="9" t="s">
        <v>65</v>
      </c>
      <c r="F56" s="9" t="s">
        <v>66</v>
      </c>
      <c r="G56" s="10">
        <v>16431</v>
      </c>
      <c r="H56" s="11">
        <v>63.714300000000001</v>
      </c>
      <c r="I56" s="12">
        <v>1047382.59</v>
      </c>
      <c r="J56" s="12">
        <v>0</v>
      </c>
      <c r="K56" s="12">
        <v>0</v>
      </c>
      <c r="L56" s="12">
        <v>0</v>
      </c>
    </row>
    <row r="57" spans="1:12" ht="16.5" customHeight="1">
      <c r="A57" s="9" t="s">
        <v>145</v>
      </c>
      <c r="B57" s="9" t="s">
        <v>152</v>
      </c>
      <c r="C57" s="9" t="s">
        <v>143</v>
      </c>
      <c r="D57" s="9" t="s">
        <v>144</v>
      </c>
      <c r="E57" s="9" t="s">
        <v>81</v>
      </c>
      <c r="F57" s="9" t="s">
        <v>82</v>
      </c>
      <c r="G57" s="10">
        <v>6297</v>
      </c>
      <c r="H57" s="11">
        <v>162.85409999999999</v>
      </c>
      <c r="I57" s="12">
        <v>1025649.7</v>
      </c>
      <c r="J57" s="12">
        <v>0</v>
      </c>
      <c r="K57" s="12">
        <v>0</v>
      </c>
      <c r="L57" s="12">
        <v>0</v>
      </c>
    </row>
    <row r="58" spans="1:12" ht="16.5" customHeight="1">
      <c r="A58" s="9" t="s">
        <v>145</v>
      </c>
      <c r="B58" s="9" t="s">
        <v>152</v>
      </c>
      <c r="C58" s="9" t="s">
        <v>143</v>
      </c>
      <c r="D58" s="9" t="s">
        <v>144</v>
      </c>
      <c r="E58" s="9" t="s">
        <v>99</v>
      </c>
      <c r="F58" s="9" t="s">
        <v>100</v>
      </c>
      <c r="G58" s="10">
        <v>15209</v>
      </c>
      <c r="H58" s="11">
        <v>68.241900000000001</v>
      </c>
      <c r="I58" s="12">
        <v>1038271.29</v>
      </c>
      <c r="J58" s="12">
        <v>0</v>
      </c>
      <c r="K58" s="12">
        <v>0</v>
      </c>
      <c r="L58" s="12">
        <v>0</v>
      </c>
    </row>
    <row r="59" spans="1:12" ht="16.5" customHeight="1">
      <c r="A59" s="9" t="s">
        <v>145</v>
      </c>
      <c r="B59" s="9" t="s">
        <v>152</v>
      </c>
      <c r="C59" s="9" t="s">
        <v>143</v>
      </c>
      <c r="D59" s="9" t="s">
        <v>144</v>
      </c>
      <c r="E59" s="9" t="s">
        <v>65</v>
      </c>
      <c r="F59" s="9" t="s">
        <v>66</v>
      </c>
      <c r="G59" s="10">
        <v>14079</v>
      </c>
      <c r="H59" s="11">
        <v>63.621400000000001</v>
      </c>
      <c r="I59" s="12">
        <v>896077.67</v>
      </c>
      <c r="J59" s="12">
        <v>0</v>
      </c>
      <c r="K59" s="12">
        <v>0</v>
      </c>
      <c r="L59" s="12">
        <v>0</v>
      </c>
    </row>
    <row r="60" spans="1:12" ht="16.5" customHeight="1">
      <c r="A60" s="9" t="s">
        <v>148</v>
      </c>
      <c r="B60" s="9" t="s">
        <v>146</v>
      </c>
      <c r="C60" s="9" t="s">
        <v>143</v>
      </c>
      <c r="D60" s="9" t="s">
        <v>144</v>
      </c>
      <c r="E60" s="9" t="s">
        <v>9</v>
      </c>
      <c r="F60" s="9" t="s">
        <v>10</v>
      </c>
      <c r="G60" s="10">
        <v>14764</v>
      </c>
      <c r="H60" s="11">
        <v>235.89818</v>
      </c>
      <c r="I60" s="12">
        <v>3483169.83</v>
      </c>
      <c r="J60" s="12">
        <v>0</v>
      </c>
      <c r="K60" s="12">
        <v>0</v>
      </c>
      <c r="L60" s="12">
        <v>0</v>
      </c>
    </row>
    <row r="61" spans="1:12" ht="16.5" customHeight="1">
      <c r="A61" s="9" t="s">
        <v>148</v>
      </c>
      <c r="B61" s="9" t="s">
        <v>154</v>
      </c>
      <c r="C61" s="9" t="s">
        <v>143</v>
      </c>
      <c r="D61" s="9" t="s">
        <v>144</v>
      </c>
      <c r="E61" s="9" t="s">
        <v>61</v>
      </c>
      <c r="F61" s="9" t="s">
        <v>62</v>
      </c>
      <c r="G61" s="10">
        <v>94233</v>
      </c>
      <c r="H61" s="11">
        <v>54.424100000000003</v>
      </c>
      <c r="I61" s="12">
        <v>5131373.21</v>
      </c>
      <c r="J61" s="12">
        <v>0</v>
      </c>
      <c r="K61" s="12">
        <v>0</v>
      </c>
      <c r="L61" s="12">
        <v>0</v>
      </c>
    </row>
    <row r="62" spans="1:12" ht="16.5" customHeight="1">
      <c r="A62" s="9" t="s">
        <v>148</v>
      </c>
      <c r="B62" s="9" t="s">
        <v>154</v>
      </c>
      <c r="C62" s="9" t="s">
        <v>143</v>
      </c>
      <c r="D62" s="9" t="s">
        <v>144</v>
      </c>
      <c r="E62" s="9" t="s">
        <v>67</v>
      </c>
      <c r="F62" s="9" t="s">
        <v>68</v>
      </c>
      <c r="G62" s="10">
        <v>48197</v>
      </c>
      <c r="H62" s="11">
        <v>104.336</v>
      </c>
      <c r="I62" s="12">
        <v>5030128.0999999996</v>
      </c>
      <c r="J62" s="12">
        <v>0</v>
      </c>
      <c r="K62" s="12">
        <v>0</v>
      </c>
      <c r="L62" s="12">
        <v>0</v>
      </c>
    </row>
    <row r="63" spans="1:12" ht="16.5" customHeight="1">
      <c r="A63" s="9" t="s">
        <v>148</v>
      </c>
      <c r="B63" s="9" t="s">
        <v>154</v>
      </c>
      <c r="C63" s="9" t="s">
        <v>143</v>
      </c>
      <c r="D63" s="9" t="s">
        <v>144</v>
      </c>
      <c r="E63" s="9" t="s">
        <v>103</v>
      </c>
      <c r="F63" s="9" t="s">
        <v>104</v>
      </c>
      <c r="G63" s="10">
        <v>61881</v>
      </c>
      <c r="H63" s="11">
        <v>82.692800000000005</v>
      </c>
      <c r="I63" s="12">
        <v>5118969.59</v>
      </c>
      <c r="J63" s="12">
        <v>0</v>
      </c>
      <c r="K63" s="12">
        <v>0</v>
      </c>
      <c r="L63" s="12">
        <v>0</v>
      </c>
    </row>
    <row r="64" spans="1:12" ht="16.5" customHeight="1">
      <c r="A64" s="9" t="s">
        <v>148</v>
      </c>
      <c r="B64" s="9" t="s">
        <v>150</v>
      </c>
      <c r="C64" s="9" t="s">
        <v>143</v>
      </c>
      <c r="D64" s="9" t="s">
        <v>144</v>
      </c>
      <c r="E64" s="9" t="s">
        <v>93</v>
      </c>
      <c r="F64" s="9" t="s">
        <v>94</v>
      </c>
      <c r="G64" s="10">
        <v>13654</v>
      </c>
      <c r="H64" s="11">
        <v>202.05719999999999</v>
      </c>
      <c r="I64" s="12">
        <v>2759230.36</v>
      </c>
      <c r="J64" s="12">
        <v>0</v>
      </c>
      <c r="K64" s="12">
        <v>0</v>
      </c>
      <c r="L64" s="12">
        <v>0</v>
      </c>
    </row>
    <row r="65" spans="1:12" ht="16.5" customHeight="1">
      <c r="A65" s="9" t="s">
        <v>148</v>
      </c>
      <c r="B65" s="9" t="s">
        <v>150</v>
      </c>
      <c r="C65" s="9" t="s">
        <v>143</v>
      </c>
      <c r="D65" s="9" t="s">
        <v>144</v>
      </c>
      <c r="E65" s="9" t="s">
        <v>45</v>
      </c>
      <c r="F65" s="9" t="s">
        <v>46</v>
      </c>
      <c r="G65" s="10">
        <v>59226</v>
      </c>
      <c r="H65" s="11">
        <v>226.61660000000001</v>
      </c>
      <c r="I65" s="12">
        <v>13423075.4</v>
      </c>
      <c r="J65" s="12">
        <v>0</v>
      </c>
      <c r="K65" s="12">
        <v>0</v>
      </c>
      <c r="L65" s="12">
        <v>0</v>
      </c>
    </row>
    <row r="66" spans="1:12" ht="16.5" customHeight="1">
      <c r="A66" s="9" t="s">
        <v>148</v>
      </c>
      <c r="B66" s="9" t="s">
        <v>150</v>
      </c>
      <c r="C66" s="9" t="s">
        <v>143</v>
      </c>
      <c r="D66" s="9" t="s">
        <v>144</v>
      </c>
      <c r="E66" s="9" t="s">
        <v>63</v>
      </c>
      <c r="F66" s="9" t="s">
        <v>64</v>
      </c>
      <c r="G66" s="10">
        <v>53660</v>
      </c>
      <c r="H66" s="11">
        <v>187.88589999999999</v>
      </c>
      <c r="I66" s="12">
        <v>10083298.890000001</v>
      </c>
      <c r="J66" s="12">
        <v>0</v>
      </c>
      <c r="K66" s="12">
        <v>0</v>
      </c>
      <c r="L66" s="12">
        <v>0</v>
      </c>
    </row>
    <row r="67" spans="1:12" ht="16.5" customHeight="1">
      <c r="A67" s="9" t="s">
        <v>148</v>
      </c>
      <c r="B67" s="9" t="s">
        <v>151</v>
      </c>
      <c r="C67" s="9" t="s">
        <v>143</v>
      </c>
      <c r="D67" s="9" t="s">
        <v>144</v>
      </c>
      <c r="E67" s="9" t="s">
        <v>81</v>
      </c>
      <c r="F67" s="9" t="s">
        <v>82</v>
      </c>
      <c r="G67" s="10">
        <v>6160</v>
      </c>
      <c r="H67" s="11">
        <v>162.125</v>
      </c>
      <c r="I67" s="12">
        <v>998874.8</v>
      </c>
      <c r="J67" s="12">
        <v>0</v>
      </c>
      <c r="K67" s="12">
        <v>0</v>
      </c>
      <c r="L67" s="12">
        <v>0</v>
      </c>
    </row>
    <row r="68" spans="1:12" ht="16.5" customHeight="1">
      <c r="A68" s="9" t="s">
        <v>148</v>
      </c>
      <c r="B68" s="9" t="s">
        <v>151</v>
      </c>
      <c r="C68" s="9" t="s">
        <v>143</v>
      </c>
      <c r="D68" s="9" t="s">
        <v>144</v>
      </c>
      <c r="E68" s="9" t="s">
        <v>99</v>
      </c>
      <c r="F68" s="9" t="s">
        <v>100</v>
      </c>
      <c r="G68" s="10">
        <v>14782</v>
      </c>
      <c r="H68" s="11">
        <v>69.8</v>
      </c>
      <c r="I68" s="12">
        <v>1032227.06</v>
      </c>
      <c r="J68" s="12">
        <v>0</v>
      </c>
      <c r="K68" s="12">
        <v>0</v>
      </c>
      <c r="L68" s="12">
        <v>0</v>
      </c>
    </row>
    <row r="69" spans="1:12" ht="16.5" customHeight="1">
      <c r="A69" s="9" t="s">
        <v>148</v>
      </c>
      <c r="B69" s="9" t="s">
        <v>151</v>
      </c>
      <c r="C69" s="9" t="s">
        <v>143</v>
      </c>
      <c r="D69" s="9" t="s">
        <v>144</v>
      </c>
      <c r="E69" s="9" t="s">
        <v>65</v>
      </c>
      <c r="F69" s="9" t="s">
        <v>66</v>
      </c>
      <c r="G69" s="10">
        <v>15618</v>
      </c>
      <c r="H69" s="11">
        <v>64.965100000000007</v>
      </c>
      <c r="I69" s="12">
        <v>1015093.47</v>
      </c>
      <c r="J69" s="12">
        <v>0</v>
      </c>
      <c r="K69" s="12">
        <v>0</v>
      </c>
      <c r="L69" s="12">
        <v>0</v>
      </c>
    </row>
    <row r="70" spans="1:12" ht="16.5" customHeight="1">
      <c r="A70" s="9" t="s">
        <v>148</v>
      </c>
      <c r="B70" s="9" t="s">
        <v>152</v>
      </c>
      <c r="C70" s="9" t="s">
        <v>143</v>
      </c>
      <c r="D70" s="9" t="s">
        <v>144</v>
      </c>
      <c r="E70" s="9" t="s">
        <v>81</v>
      </c>
      <c r="F70" s="9" t="s">
        <v>82</v>
      </c>
      <c r="G70" s="10">
        <v>6160</v>
      </c>
      <c r="H70" s="11">
        <v>162.11250000000001</v>
      </c>
      <c r="I70" s="12">
        <v>998767</v>
      </c>
      <c r="J70" s="12">
        <v>0</v>
      </c>
      <c r="K70" s="12">
        <v>0</v>
      </c>
      <c r="L70" s="12">
        <v>0</v>
      </c>
    </row>
    <row r="71" spans="1:12" ht="16.5" customHeight="1">
      <c r="A71" s="9" t="s">
        <v>148</v>
      </c>
      <c r="B71" s="9" t="s">
        <v>152</v>
      </c>
      <c r="C71" s="9" t="s">
        <v>143</v>
      </c>
      <c r="D71" s="9" t="s">
        <v>144</v>
      </c>
      <c r="E71" s="9" t="s">
        <v>99</v>
      </c>
      <c r="F71" s="9" t="s">
        <v>100</v>
      </c>
      <c r="G71" s="10">
        <v>14782</v>
      </c>
      <c r="H71" s="11">
        <v>69.864699999999999</v>
      </c>
      <c r="I71" s="12">
        <v>1033109.55</v>
      </c>
      <c r="J71" s="12">
        <v>0</v>
      </c>
      <c r="K71" s="12">
        <v>0</v>
      </c>
      <c r="L71" s="12">
        <v>0</v>
      </c>
    </row>
    <row r="72" spans="1:12" ht="16.5" customHeight="1">
      <c r="A72" s="9" t="s">
        <v>148</v>
      </c>
      <c r="B72" s="9" t="s">
        <v>152</v>
      </c>
      <c r="C72" s="9" t="s">
        <v>143</v>
      </c>
      <c r="D72" s="9" t="s">
        <v>144</v>
      </c>
      <c r="E72" s="9" t="s">
        <v>65</v>
      </c>
      <c r="F72" s="9" t="s">
        <v>66</v>
      </c>
      <c r="G72" s="10">
        <v>15618</v>
      </c>
      <c r="H72" s="11">
        <v>64.969800000000006</v>
      </c>
      <c r="I72" s="12">
        <v>1015088.79</v>
      </c>
      <c r="J72" s="12">
        <v>0</v>
      </c>
      <c r="K72" s="12">
        <v>0</v>
      </c>
      <c r="L72" s="12">
        <v>0</v>
      </c>
    </row>
    <row r="73" spans="1:12" ht="16.5" customHeight="1">
      <c r="A73" s="9" t="s">
        <v>148</v>
      </c>
      <c r="B73" s="9" t="s">
        <v>155</v>
      </c>
      <c r="C73" s="9" t="s">
        <v>143</v>
      </c>
      <c r="D73" s="9" t="s">
        <v>144</v>
      </c>
      <c r="E73" s="9" t="s">
        <v>79</v>
      </c>
      <c r="F73" s="9" t="s">
        <v>80</v>
      </c>
      <c r="G73" s="10">
        <v>34643</v>
      </c>
      <c r="H73" s="11">
        <v>291.55982</v>
      </c>
      <c r="I73" s="12">
        <v>10101372.82</v>
      </c>
      <c r="J73" s="12">
        <v>0</v>
      </c>
      <c r="K73" s="12">
        <v>0</v>
      </c>
      <c r="L73" s="12">
        <v>0</v>
      </c>
    </row>
    <row r="74" spans="1:12" ht="16.5" customHeight="1">
      <c r="A74" s="9" t="s">
        <v>148</v>
      </c>
      <c r="B74" s="9" t="s">
        <v>155</v>
      </c>
      <c r="C74" s="9" t="s">
        <v>143</v>
      </c>
      <c r="D74" s="9" t="s">
        <v>144</v>
      </c>
      <c r="E74" s="9" t="s">
        <v>9</v>
      </c>
      <c r="F74" s="9" t="s">
        <v>10</v>
      </c>
      <c r="G74" s="10">
        <v>42907</v>
      </c>
      <c r="H74" s="11">
        <v>239.05535</v>
      </c>
      <c r="I74" s="12">
        <v>10258220.41</v>
      </c>
      <c r="J74" s="12">
        <v>0</v>
      </c>
      <c r="K74" s="12">
        <v>0</v>
      </c>
      <c r="L74" s="12">
        <v>0</v>
      </c>
    </row>
    <row r="75" spans="1:12" ht="16.5" customHeight="1">
      <c r="A75" s="9" t="s">
        <v>148</v>
      </c>
      <c r="B75" s="9" t="s">
        <v>155</v>
      </c>
      <c r="C75" s="9" t="s">
        <v>143</v>
      </c>
      <c r="D75" s="9" t="s">
        <v>144</v>
      </c>
      <c r="E75" s="9" t="s">
        <v>7</v>
      </c>
      <c r="F75" s="9" t="s">
        <v>8</v>
      </c>
      <c r="G75" s="10">
        <v>31592</v>
      </c>
      <c r="H75" s="11">
        <v>314.77397000000002</v>
      </c>
      <c r="I75" s="12">
        <v>9945129.0600000005</v>
      </c>
      <c r="J75" s="12">
        <v>0</v>
      </c>
      <c r="K75" s="12">
        <v>0</v>
      </c>
      <c r="L75" s="12">
        <v>0</v>
      </c>
    </row>
    <row r="76" spans="1:12" ht="16.5" customHeight="1">
      <c r="A76" s="9" t="s">
        <v>148</v>
      </c>
      <c r="B76" s="9" t="s">
        <v>155</v>
      </c>
      <c r="C76" s="9" t="s">
        <v>143</v>
      </c>
      <c r="D76" s="9" t="s">
        <v>144</v>
      </c>
      <c r="E76" s="9" t="s">
        <v>35</v>
      </c>
      <c r="F76" s="9" t="s">
        <v>36</v>
      </c>
      <c r="G76" s="10">
        <v>21148</v>
      </c>
      <c r="H76" s="11">
        <v>473.85610000000003</v>
      </c>
      <c r="I76" s="12">
        <v>10021637.5</v>
      </c>
      <c r="J76" s="12">
        <v>0</v>
      </c>
      <c r="K76" s="12">
        <v>0</v>
      </c>
      <c r="L76" s="12">
        <v>0</v>
      </c>
    </row>
    <row r="77" spans="1:12" ht="16.5" customHeight="1">
      <c r="A77" s="9" t="s">
        <v>148</v>
      </c>
      <c r="B77" s="9" t="s">
        <v>155</v>
      </c>
      <c r="C77" s="9" t="s">
        <v>143</v>
      </c>
      <c r="D77" s="9" t="s">
        <v>144</v>
      </c>
      <c r="E77" s="9" t="s">
        <v>113</v>
      </c>
      <c r="F77" s="9" t="s">
        <v>114</v>
      </c>
      <c r="G77" s="10">
        <v>54909</v>
      </c>
      <c r="H77" s="11">
        <v>184.80789999999999</v>
      </c>
      <c r="I77" s="12">
        <v>10148989.710000001</v>
      </c>
      <c r="J77" s="12">
        <v>0</v>
      </c>
      <c r="K77" s="12">
        <v>0</v>
      </c>
      <c r="L77" s="12">
        <v>0</v>
      </c>
    </row>
    <row r="78" spans="1:12" ht="16.5" customHeight="1">
      <c r="A78" s="9" t="s">
        <v>153</v>
      </c>
      <c r="B78" s="9" t="s">
        <v>146</v>
      </c>
      <c r="C78" s="9" t="s">
        <v>143</v>
      </c>
      <c r="D78" s="9" t="s">
        <v>144</v>
      </c>
      <c r="E78" s="9" t="s">
        <v>9</v>
      </c>
      <c r="F78" s="9" t="s">
        <v>10</v>
      </c>
      <c r="G78" s="10">
        <v>27809</v>
      </c>
      <c r="H78" s="11">
        <v>243.26910000000001</v>
      </c>
      <c r="I78" s="12">
        <v>6765765.6299999999</v>
      </c>
      <c r="J78" s="12">
        <v>0</v>
      </c>
      <c r="K78" s="12">
        <v>0</v>
      </c>
      <c r="L78" s="12">
        <v>0</v>
      </c>
    </row>
    <row r="79" spans="1:12" ht="16.5" customHeight="1">
      <c r="A79" s="9" t="s">
        <v>153</v>
      </c>
      <c r="B79" s="9" t="s">
        <v>150</v>
      </c>
      <c r="C79" s="9" t="s">
        <v>143</v>
      </c>
      <c r="D79" s="9" t="s">
        <v>144</v>
      </c>
      <c r="E79" s="9" t="s">
        <v>93</v>
      </c>
      <c r="F79" s="9" t="s">
        <v>94</v>
      </c>
      <c r="G79" s="10">
        <v>34789</v>
      </c>
      <c r="H79" s="11">
        <v>202.47311999999999</v>
      </c>
      <c r="I79" s="12">
        <v>7044706.96</v>
      </c>
      <c r="J79" s="12">
        <v>0</v>
      </c>
      <c r="K79" s="12">
        <v>0</v>
      </c>
      <c r="L79" s="12">
        <v>0</v>
      </c>
    </row>
    <row r="80" spans="1:12" ht="16.5" customHeight="1">
      <c r="A80" s="9" t="s">
        <v>153</v>
      </c>
      <c r="B80" s="9" t="s">
        <v>150</v>
      </c>
      <c r="C80" s="9" t="s">
        <v>143</v>
      </c>
      <c r="D80" s="9" t="s">
        <v>144</v>
      </c>
      <c r="E80" s="9" t="s">
        <v>63</v>
      </c>
      <c r="F80" s="9" t="s">
        <v>64</v>
      </c>
      <c r="G80" s="10">
        <v>51517</v>
      </c>
      <c r="H80" s="11">
        <v>190.55256</v>
      </c>
      <c r="I80" s="12">
        <v>9817983.9600000009</v>
      </c>
      <c r="J80" s="12">
        <v>0</v>
      </c>
      <c r="K80" s="12">
        <v>0</v>
      </c>
      <c r="L80" s="12">
        <v>0</v>
      </c>
    </row>
    <row r="81" spans="1:12" ht="16.5" customHeight="1">
      <c r="A81" s="9" t="s">
        <v>153</v>
      </c>
      <c r="B81" s="9" t="s">
        <v>151</v>
      </c>
      <c r="C81" s="9" t="s">
        <v>143</v>
      </c>
      <c r="D81" s="9" t="s">
        <v>144</v>
      </c>
      <c r="E81" s="9" t="s">
        <v>81</v>
      </c>
      <c r="F81" s="9" t="s">
        <v>82</v>
      </c>
      <c r="G81" s="10">
        <v>6148</v>
      </c>
      <c r="H81" s="11">
        <v>156.09690000000001</v>
      </c>
      <c r="I81" s="12">
        <v>959868.18</v>
      </c>
      <c r="J81" s="12">
        <v>0</v>
      </c>
      <c r="K81" s="12">
        <v>0</v>
      </c>
      <c r="L81" s="12">
        <v>0</v>
      </c>
    </row>
    <row r="82" spans="1:12" ht="16.5" customHeight="1">
      <c r="A82" s="9" t="s">
        <v>153</v>
      </c>
      <c r="B82" s="9" t="s">
        <v>151</v>
      </c>
      <c r="C82" s="9" t="s">
        <v>143</v>
      </c>
      <c r="D82" s="9" t="s">
        <v>144</v>
      </c>
      <c r="E82" s="9" t="s">
        <v>99</v>
      </c>
      <c r="F82" s="9" t="s">
        <v>100</v>
      </c>
      <c r="G82" s="10">
        <v>14355</v>
      </c>
      <c r="H82" s="11">
        <v>67.145200000000003</v>
      </c>
      <c r="I82" s="12">
        <v>964300</v>
      </c>
      <c r="J82" s="12">
        <v>0</v>
      </c>
      <c r="K82" s="12">
        <v>0</v>
      </c>
      <c r="L82" s="12">
        <v>0</v>
      </c>
    </row>
    <row r="83" spans="1:12" ht="16.5" customHeight="1">
      <c r="A83" s="9" t="s">
        <v>153</v>
      </c>
      <c r="B83" s="9" t="s">
        <v>151</v>
      </c>
      <c r="C83" s="9" t="s">
        <v>143</v>
      </c>
      <c r="D83" s="9" t="s">
        <v>144</v>
      </c>
      <c r="E83" s="9" t="s">
        <v>65</v>
      </c>
      <c r="F83" s="9" t="s">
        <v>66</v>
      </c>
      <c r="G83" s="10">
        <v>15232</v>
      </c>
      <c r="H83" s="11">
        <v>64.410300000000007</v>
      </c>
      <c r="I83" s="12">
        <v>981554.65</v>
      </c>
      <c r="J83" s="12">
        <v>0</v>
      </c>
      <c r="K83" s="12">
        <v>0</v>
      </c>
      <c r="L83" s="12">
        <v>0</v>
      </c>
    </row>
    <row r="84" spans="1:12" ht="16.5" customHeight="1">
      <c r="A84" s="9" t="s">
        <v>153</v>
      </c>
      <c r="B84" s="9" t="s">
        <v>152</v>
      </c>
      <c r="C84" s="9" t="s">
        <v>143</v>
      </c>
      <c r="D84" s="9" t="s">
        <v>144</v>
      </c>
      <c r="E84" s="9" t="s">
        <v>81</v>
      </c>
      <c r="F84" s="9" t="s">
        <v>82</v>
      </c>
      <c r="G84" s="10">
        <v>6148</v>
      </c>
      <c r="H84" s="11">
        <v>156.0977</v>
      </c>
      <c r="I84" s="12">
        <v>959842.36</v>
      </c>
      <c r="J84" s="12">
        <v>0</v>
      </c>
      <c r="K84" s="12">
        <v>0</v>
      </c>
      <c r="L84" s="12">
        <v>0</v>
      </c>
    </row>
    <row r="85" spans="1:12" ht="16.5" customHeight="1">
      <c r="A85" s="9" t="s">
        <v>153</v>
      </c>
      <c r="B85" s="9" t="s">
        <v>152</v>
      </c>
      <c r="C85" s="9" t="s">
        <v>143</v>
      </c>
      <c r="D85" s="9" t="s">
        <v>144</v>
      </c>
      <c r="E85" s="9" t="s">
        <v>99</v>
      </c>
      <c r="F85" s="9" t="s">
        <v>100</v>
      </c>
      <c r="G85" s="10">
        <v>14355</v>
      </c>
      <c r="H85" s="11">
        <v>67.287999999999997</v>
      </c>
      <c r="I85" s="12">
        <v>966278.12</v>
      </c>
      <c r="J85" s="12">
        <v>0</v>
      </c>
      <c r="K85" s="12">
        <v>0</v>
      </c>
      <c r="L85" s="12">
        <v>0</v>
      </c>
    </row>
    <row r="86" spans="1:12" ht="16.5" customHeight="1">
      <c r="A86" s="9" t="s">
        <v>153</v>
      </c>
      <c r="B86" s="9" t="s">
        <v>152</v>
      </c>
      <c r="C86" s="9" t="s">
        <v>143</v>
      </c>
      <c r="D86" s="9" t="s">
        <v>144</v>
      </c>
      <c r="E86" s="9" t="s">
        <v>65</v>
      </c>
      <c r="F86" s="9" t="s">
        <v>66</v>
      </c>
      <c r="G86" s="10">
        <v>15232</v>
      </c>
      <c r="H86" s="11">
        <v>64.515600000000006</v>
      </c>
      <c r="I86" s="12">
        <v>983082.42</v>
      </c>
      <c r="J86" s="12">
        <v>0</v>
      </c>
      <c r="K86" s="12">
        <v>0</v>
      </c>
      <c r="L86" s="12">
        <v>0</v>
      </c>
    </row>
    <row r="87" spans="1:12" ht="16.5" customHeight="1">
      <c r="A87" s="9" t="s">
        <v>156</v>
      </c>
      <c r="B87" s="9" t="s">
        <v>151</v>
      </c>
      <c r="C87" s="9" t="s">
        <v>143</v>
      </c>
      <c r="D87" s="9" t="s">
        <v>144</v>
      </c>
      <c r="E87" s="9" t="s">
        <v>81</v>
      </c>
      <c r="F87" s="9" t="s">
        <v>82</v>
      </c>
      <c r="G87" s="10">
        <v>6511</v>
      </c>
      <c r="H87" s="11">
        <v>154.60140000000001</v>
      </c>
      <c r="I87" s="12">
        <v>1006772.5</v>
      </c>
      <c r="J87" s="12">
        <v>0</v>
      </c>
      <c r="K87" s="12">
        <v>0</v>
      </c>
      <c r="L87" s="12">
        <v>0</v>
      </c>
    </row>
    <row r="88" spans="1:12" ht="16.5" customHeight="1">
      <c r="A88" s="9" t="s">
        <v>156</v>
      </c>
      <c r="B88" s="9" t="s">
        <v>151</v>
      </c>
      <c r="C88" s="9" t="s">
        <v>143</v>
      </c>
      <c r="D88" s="9" t="s">
        <v>144</v>
      </c>
      <c r="E88" s="9" t="s">
        <v>99</v>
      </c>
      <c r="F88" s="9" t="s">
        <v>100</v>
      </c>
      <c r="G88" s="10">
        <v>15160</v>
      </c>
      <c r="H88" s="11">
        <v>66.703599999999994</v>
      </c>
      <c r="I88" s="12">
        <v>1011605.58</v>
      </c>
      <c r="J88" s="12">
        <v>0</v>
      </c>
      <c r="K88" s="12">
        <v>0</v>
      </c>
      <c r="L88" s="12">
        <v>0</v>
      </c>
    </row>
    <row r="89" spans="1:12" ht="16.5" customHeight="1">
      <c r="A89" s="9" t="s">
        <v>156</v>
      </c>
      <c r="B89" s="9" t="s">
        <v>151</v>
      </c>
      <c r="C89" s="9" t="s">
        <v>143</v>
      </c>
      <c r="D89" s="9" t="s">
        <v>144</v>
      </c>
      <c r="E89" s="9" t="s">
        <v>65</v>
      </c>
      <c r="F89" s="9" t="s">
        <v>66</v>
      </c>
      <c r="G89" s="10">
        <v>15696</v>
      </c>
      <c r="H89" s="11">
        <v>64.015500000000003</v>
      </c>
      <c r="I89" s="12">
        <v>1005179.69</v>
      </c>
      <c r="J89" s="12">
        <v>0</v>
      </c>
      <c r="K89" s="12">
        <v>0</v>
      </c>
      <c r="L89" s="12">
        <v>0</v>
      </c>
    </row>
    <row r="90" spans="1:12" ht="16.5" customHeight="1">
      <c r="A90" s="9" t="s">
        <v>156</v>
      </c>
      <c r="B90" s="9" t="s">
        <v>152</v>
      </c>
      <c r="C90" s="9" t="s">
        <v>143</v>
      </c>
      <c r="D90" s="9" t="s">
        <v>144</v>
      </c>
      <c r="E90" s="9" t="s">
        <v>81</v>
      </c>
      <c r="F90" s="9" t="s">
        <v>82</v>
      </c>
      <c r="G90" s="10">
        <v>6511</v>
      </c>
      <c r="H90" s="11">
        <v>154.73733999999999</v>
      </c>
      <c r="I90" s="12">
        <v>1007657.57</v>
      </c>
      <c r="J90" s="12">
        <v>0</v>
      </c>
      <c r="K90" s="12">
        <v>0</v>
      </c>
      <c r="L90" s="12">
        <v>0</v>
      </c>
    </row>
    <row r="91" spans="1:12" ht="16.5" customHeight="1">
      <c r="A91" s="9" t="s">
        <v>156</v>
      </c>
      <c r="B91" s="9" t="s">
        <v>152</v>
      </c>
      <c r="C91" s="9" t="s">
        <v>143</v>
      </c>
      <c r="D91" s="9" t="s">
        <v>144</v>
      </c>
      <c r="E91" s="9" t="s">
        <v>99</v>
      </c>
      <c r="F91" s="9" t="s">
        <v>100</v>
      </c>
      <c r="G91" s="10">
        <v>15160</v>
      </c>
      <c r="H91" s="11">
        <v>66.745419999999996</v>
      </c>
      <c r="I91" s="12">
        <v>1012239.52</v>
      </c>
      <c r="J91" s="12">
        <v>0</v>
      </c>
      <c r="K91" s="12">
        <v>0</v>
      </c>
      <c r="L91" s="12">
        <v>0</v>
      </c>
    </row>
    <row r="92" spans="1:12" ht="16.5" customHeight="1">
      <c r="A92" s="9" t="s">
        <v>156</v>
      </c>
      <c r="B92" s="9" t="s">
        <v>152</v>
      </c>
      <c r="C92" s="9" t="s">
        <v>143</v>
      </c>
      <c r="D92" s="9" t="s">
        <v>144</v>
      </c>
      <c r="E92" s="9" t="s">
        <v>65</v>
      </c>
      <c r="F92" s="9" t="s">
        <v>66</v>
      </c>
      <c r="G92" s="10">
        <v>15696</v>
      </c>
      <c r="H92" s="11">
        <v>64.222120000000004</v>
      </c>
      <c r="I92" s="12">
        <v>1008422.72</v>
      </c>
      <c r="J92" s="12">
        <v>0</v>
      </c>
      <c r="K92" s="12">
        <v>0</v>
      </c>
      <c r="L92" s="12">
        <v>0</v>
      </c>
    </row>
    <row r="93" spans="1:12" ht="16.5" customHeight="1">
      <c r="A93" s="9" t="s">
        <v>157</v>
      </c>
      <c r="B93" s="9" t="s">
        <v>142</v>
      </c>
      <c r="C93" s="9" t="s">
        <v>143</v>
      </c>
      <c r="D93" s="9" t="s">
        <v>144</v>
      </c>
      <c r="E93" s="9" t="s">
        <v>87</v>
      </c>
      <c r="F93" s="9" t="s">
        <v>88</v>
      </c>
      <c r="G93" s="10">
        <v>168194</v>
      </c>
      <c r="H93" s="11">
        <v>121.41431</v>
      </c>
      <c r="I93" s="12">
        <v>20425363.140000001</v>
      </c>
      <c r="J93" s="12">
        <v>0</v>
      </c>
      <c r="K93" s="12">
        <v>0</v>
      </c>
      <c r="L93" s="12">
        <v>0</v>
      </c>
    </row>
    <row r="94" spans="1:12" ht="16.5" customHeight="1">
      <c r="A94" s="9" t="s">
        <v>157</v>
      </c>
      <c r="B94" s="9" t="s">
        <v>142</v>
      </c>
      <c r="C94" s="9" t="s">
        <v>147</v>
      </c>
      <c r="D94" s="9" t="s">
        <v>144</v>
      </c>
      <c r="E94" s="9" t="s">
        <v>111</v>
      </c>
      <c r="F94" s="9" t="s">
        <v>112</v>
      </c>
      <c r="G94" s="10">
        <v>74875</v>
      </c>
      <c r="H94" s="11">
        <v>166.00450000000001</v>
      </c>
      <c r="I94" s="12">
        <v>12427715.060000001</v>
      </c>
      <c r="J94" s="12">
        <v>173.05232000000001</v>
      </c>
      <c r="K94" s="12">
        <v>12957292.52</v>
      </c>
      <c r="L94" s="12">
        <v>-529577.46</v>
      </c>
    </row>
    <row r="95" spans="1:12" ht="16.5" customHeight="1">
      <c r="A95" s="9" t="s">
        <v>157</v>
      </c>
      <c r="B95" s="9" t="s">
        <v>142</v>
      </c>
      <c r="C95" s="9" t="s">
        <v>147</v>
      </c>
      <c r="D95" s="9" t="s">
        <v>144</v>
      </c>
      <c r="E95" s="9" t="s">
        <v>111</v>
      </c>
      <c r="F95" s="9" t="s">
        <v>112</v>
      </c>
      <c r="G95" s="10">
        <v>40000</v>
      </c>
      <c r="H95" s="11">
        <v>165.91460000000001</v>
      </c>
      <c r="I95" s="12">
        <v>6635784</v>
      </c>
      <c r="J95" s="12">
        <v>173.05258000000001</v>
      </c>
      <c r="K95" s="12">
        <v>6922103.2699999996</v>
      </c>
      <c r="L95" s="12">
        <v>-286319.27</v>
      </c>
    </row>
    <row r="96" spans="1:12" ht="16.5" customHeight="1">
      <c r="A96" s="9" t="s">
        <v>157</v>
      </c>
      <c r="B96" s="9" t="s">
        <v>150</v>
      </c>
      <c r="C96" s="9" t="s">
        <v>143</v>
      </c>
      <c r="D96" s="9" t="s">
        <v>144</v>
      </c>
      <c r="E96" s="9" t="s">
        <v>33</v>
      </c>
      <c r="F96" s="9" t="s">
        <v>34</v>
      </c>
      <c r="G96" s="10">
        <v>51399</v>
      </c>
      <c r="H96" s="11">
        <v>389.14190000000002</v>
      </c>
      <c r="I96" s="12">
        <v>20002789.5</v>
      </c>
      <c r="J96" s="12">
        <v>0</v>
      </c>
      <c r="K96" s="12">
        <v>0</v>
      </c>
      <c r="L96" s="12">
        <v>0</v>
      </c>
    </row>
    <row r="97" spans="1:12" ht="16.5" customHeight="1">
      <c r="A97" s="9" t="s">
        <v>158</v>
      </c>
      <c r="B97" s="9" t="s">
        <v>159</v>
      </c>
      <c r="C97" s="9" t="s">
        <v>147</v>
      </c>
      <c r="D97" s="9" t="s">
        <v>144</v>
      </c>
      <c r="E97" s="9" t="s">
        <v>109</v>
      </c>
      <c r="F97" s="9" t="s">
        <v>110</v>
      </c>
      <c r="G97" s="10">
        <v>41007</v>
      </c>
      <c r="H97" s="11">
        <v>175.3432</v>
      </c>
      <c r="I97" s="12">
        <v>7189478.46</v>
      </c>
      <c r="J97" s="12">
        <v>285.35726</v>
      </c>
      <c r="K97" s="12">
        <v>11701645.029999999</v>
      </c>
      <c r="L97" s="12">
        <v>-4512166.57</v>
      </c>
    </row>
    <row r="98" spans="1:12" ht="16.5" customHeight="1">
      <c r="A98" s="9" t="s">
        <v>158</v>
      </c>
      <c r="B98" s="9" t="s">
        <v>159</v>
      </c>
      <c r="C98" s="9" t="s">
        <v>147</v>
      </c>
      <c r="D98" s="9" t="s">
        <v>144</v>
      </c>
      <c r="E98" s="9" t="s">
        <v>109</v>
      </c>
      <c r="F98" s="9" t="s">
        <v>110</v>
      </c>
      <c r="G98" s="10">
        <v>40000</v>
      </c>
      <c r="H98" s="11">
        <v>175.42410000000001</v>
      </c>
      <c r="I98" s="12">
        <v>7015764</v>
      </c>
      <c r="J98" s="12">
        <v>285.35703999999998</v>
      </c>
      <c r="K98" s="12">
        <v>11414281.5</v>
      </c>
      <c r="L98" s="12">
        <v>-4398517.5</v>
      </c>
    </row>
    <row r="99" spans="1:12" ht="16.5" customHeight="1">
      <c r="A99" s="9" t="s">
        <v>158</v>
      </c>
      <c r="B99" s="9" t="s">
        <v>161</v>
      </c>
      <c r="C99" s="9" t="s">
        <v>143</v>
      </c>
      <c r="D99" s="9" t="s">
        <v>144</v>
      </c>
      <c r="E99" s="9" t="s">
        <v>15</v>
      </c>
      <c r="F99" s="9" t="s">
        <v>16</v>
      </c>
      <c r="G99" s="10">
        <v>27044</v>
      </c>
      <c r="H99" s="11">
        <v>331.29789</v>
      </c>
      <c r="I99" s="12">
        <v>8960296.2400000002</v>
      </c>
      <c r="J99" s="12">
        <v>0</v>
      </c>
      <c r="K99" s="12">
        <v>0</v>
      </c>
      <c r="L99" s="12">
        <v>0</v>
      </c>
    </row>
    <row r="100" spans="1:12" ht="16.5" customHeight="1">
      <c r="A100" s="9" t="s">
        <v>158</v>
      </c>
      <c r="B100" s="9" t="s">
        <v>161</v>
      </c>
      <c r="C100" s="9" t="s">
        <v>143</v>
      </c>
      <c r="D100" s="9" t="s">
        <v>144</v>
      </c>
      <c r="E100" s="9" t="s">
        <v>37</v>
      </c>
      <c r="F100" s="9" t="s">
        <v>38</v>
      </c>
      <c r="G100" s="10">
        <v>47740</v>
      </c>
      <c r="H100" s="11">
        <v>191.52539999999999</v>
      </c>
      <c r="I100" s="12">
        <v>9144854.8000000007</v>
      </c>
      <c r="J100" s="12">
        <v>0</v>
      </c>
      <c r="K100" s="12">
        <v>0</v>
      </c>
      <c r="L100" s="12">
        <v>0</v>
      </c>
    </row>
    <row r="101" spans="1:12" ht="16.5" customHeight="1">
      <c r="A101" s="9" t="s">
        <v>158</v>
      </c>
      <c r="B101" s="9" t="s">
        <v>161</v>
      </c>
      <c r="C101" s="9" t="s">
        <v>143</v>
      </c>
      <c r="D101" s="9" t="s">
        <v>144</v>
      </c>
      <c r="E101" s="9" t="s">
        <v>97</v>
      </c>
      <c r="F101" s="9" t="s">
        <v>98</v>
      </c>
      <c r="G101" s="10">
        <v>69461</v>
      </c>
      <c r="H101" s="11">
        <v>129.4562</v>
      </c>
      <c r="I101" s="12">
        <v>8993546.3300000001</v>
      </c>
      <c r="J101" s="12">
        <v>0</v>
      </c>
      <c r="K101" s="12">
        <v>0</v>
      </c>
      <c r="L101" s="12">
        <v>0</v>
      </c>
    </row>
    <row r="102" spans="1:12" ht="16.5" customHeight="1">
      <c r="A102" s="9" t="s">
        <v>160</v>
      </c>
      <c r="B102" s="9" t="s">
        <v>151</v>
      </c>
      <c r="C102" s="9" t="s">
        <v>143</v>
      </c>
      <c r="D102" s="9" t="s">
        <v>144</v>
      </c>
      <c r="E102" s="9" t="s">
        <v>59</v>
      </c>
      <c r="F102" s="9" t="s">
        <v>60</v>
      </c>
      <c r="G102" s="10">
        <v>37625</v>
      </c>
      <c r="H102" s="11">
        <v>134.17936</v>
      </c>
      <c r="I102" s="12">
        <v>5049439.09</v>
      </c>
      <c r="J102" s="12">
        <v>0</v>
      </c>
      <c r="K102" s="12">
        <v>0</v>
      </c>
      <c r="L102" s="12">
        <v>0</v>
      </c>
    </row>
    <row r="103" spans="1:12" ht="16.5" customHeight="1">
      <c r="A103" s="9" t="s">
        <v>160</v>
      </c>
      <c r="B103" s="9" t="s">
        <v>151</v>
      </c>
      <c r="C103" s="9" t="s">
        <v>147</v>
      </c>
      <c r="D103" s="9" t="s">
        <v>144</v>
      </c>
      <c r="E103" s="9" t="s">
        <v>81</v>
      </c>
      <c r="F103" s="9" t="s">
        <v>82</v>
      </c>
      <c r="G103" s="10">
        <v>31699</v>
      </c>
      <c r="H103" s="11">
        <v>142.43206000000001</v>
      </c>
      <c r="I103" s="12">
        <v>4514161.5199999996</v>
      </c>
      <c r="J103" s="12">
        <v>158.72335000000001</v>
      </c>
      <c r="K103" s="12">
        <v>5031371.55</v>
      </c>
      <c r="L103" s="12">
        <v>-517210.03</v>
      </c>
    </row>
    <row r="104" spans="1:12" ht="16.5" customHeight="1">
      <c r="A104" s="9" t="s">
        <v>162</v>
      </c>
      <c r="B104" s="9" t="s">
        <v>142</v>
      </c>
      <c r="C104" s="9" t="s">
        <v>143</v>
      </c>
      <c r="D104" s="9" t="s">
        <v>144</v>
      </c>
      <c r="E104" s="9" t="s">
        <v>17</v>
      </c>
      <c r="F104" s="9" t="s">
        <v>18</v>
      </c>
      <c r="G104" s="10">
        <v>69042</v>
      </c>
      <c r="H104" s="11">
        <v>293.6268</v>
      </c>
      <c r="I104" s="12">
        <v>20273962.370000001</v>
      </c>
      <c r="J104" s="12">
        <v>0</v>
      </c>
      <c r="K104" s="12">
        <v>0</v>
      </c>
      <c r="L104" s="12">
        <v>0</v>
      </c>
    </row>
    <row r="105" spans="1:12" ht="16.5" customHeight="1">
      <c r="A105" s="9" t="s">
        <v>162</v>
      </c>
      <c r="B105" s="9" t="s">
        <v>142</v>
      </c>
      <c r="C105" s="9" t="s">
        <v>147</v>
      </c>
      <c r="D105" s="9" t="s">
        <v>144</v>
      </c>
      <c r="E105" s="9" t="s">
        <v>7</v>
      </c>
      <c r="F105" s="9" t="s">
        <v>8</v>
      </c>
      <c r="G105" s="10">
        <v>63971</v>
      </c>
      <c r="H105" s="11">
        <v>318.57279999999997</v>
      </c>
      <c r="I105" s="12">
        <v>20377501.460000001</v>
      </c>
      <c r="J105" s="12">
        <v>316.12907999999999</v>
      </c>
      <c r="K105" s="12">
        <v>20223093.609999999</v>
      </c>
      <c r="L105" s="12">
        <v>154407.85</v>
      </c>
    </row>
    <row r="106" spans="1:12" ht="16.5" customHeight="1">
      <c r="A106" s="9" t="s">
        <v>162</v>
      </c>
      <c r="B106" s="9" t="s">
        <v>155</v>
      </c>
      <c r="C106" s="9" t="s">
        <v>143</v>
      </c>
      <c r="D106" s="9" t="s">
        <v>144</v>
      </c>
      <c r="E106" s="9" t="s">
        <v>73</v>
      </c>
      <c r="F106" s="9" t="s">
        <v>74</v>
      </c>
      <c r="G106" s="10">
        <v>70552</v>
      </c>
      <c r="H106" s="11">
        <v>143.55479</v>
      </c>
      <c r="I106" s="12">
        <v>10129841.560000001</v>
      </c>
      <c r="J106" s="12">
        <v>0</v>
      </c>
      <c r="K106" s="12">
        <v>0</v>
      </c>
      <c r="L106" s="12">
        <v>0</v>
      </c>
    </row>
    <row r="107" spans="1:12" ht="16.5" customHeight="1">
      <c r="A107" s="9" t="s">
        <v>162</v>
      </c>
      <c r="B107" s="9" t="s">
        <v>155</v>
      </c>
      <c r="C107" s="9" t="s">
        <v>147</v>
      </c>
      <c r="D107" s="9" t="s">
        <v>144</v>
      </c>
      <c r="E107" s="9" t="s">
        <v>113</v>
      </c>
      <c r="F107" s="9" t="s">
        <v>114</v>
      </c>
      <c r="G107" s="10">
        <v>54909</v>
      </c>
      <c r="H107" s="11">
        <v>166.47985</v>
      </c>
      <c r="I107" s="12">
        <v>9139869.3499999996</v>
      </c>
      <c r="J107" s="12">
        <v>186.42777000000001</v>
      </c>
      <c r="K107" s="12">
        <v>10236562.57</v>
      </c>
      <c r="L107" s="12">
        <v>-1096693.22</v>
      </c>
    </row>
    <row r="108" spans="1:12" ht="16.5" customHeight="1">
      <c r="A108" s="9" t="s">
        <v>163</v>
      </c>
      <c r="B108" s="9" t="s">
        <v>142</v>
      </c>
      <c r="C108" s="9" t="s">
        <v>143</v>
      </c>
      <c r="D108" s="9" t="s">
        <v>144</v>
      </c>
      <c r="E108" s="9" t="s">
        <v>105</v>
      </c>
      <c r="F108" s="9" t="s">
        <v>106</v>
      </c>
      <c r="G108" s="10">
        <v>48649</v>
      </c>
      <c r="H108" s="11">
        <v>413.15899999999999</v>
      </c>
      <c r="I108" s="12">
        <v>20100988.420000002</v>
      </c>
      <c r="J108" s="12">
        <v>0</v>
      </c>
      <c r="K108" s="12">
        <v>0</v>
      </c>
      <c r="L108" s="12">
        <v>0</v>
      </c>
    </row>
    <row r="109" spans="1:12" ht="16.5" customHeight="1">
      <c r="A109" s="9" t="s">
        <v>163</v>
      </c>
      <c r="B109" s="9" t="s">
        <v>142</v>
      </c>
      <c r="C109" s="9" t="s">
        <v>147</v>
      </c>
      <c r="D109" s="9" t="s">
        <v>144</v>
      </c>
      <c r="E109" s="9" t="s">
        <v>87</v>
      </c>
      <c r="F109" s="9" t="s">
        <v>88</v>
      </c>
      <c r="G109" s="10">
        <v>168194</v>
      </c>
      <c r="H109" s="11">
        <v>123.9015</v>
      </c>
      <c r="I109" s="12">
        <v>20836125.010000002</v>
      </c>
      <c r="J109" s="12">
        <v>121.43931000000001</v>
      </c>
      <c r="K109" s="12">
        <v>20425363.140000001</v>
      </c>
      <c r="L109" s="12">
        <v>410761.87</v>
      </c>
    </row>
    <row r="110" spans="1:12" ht="16.5" customHeight="1">
      <c r="A110" s="9" t="s">
        <v>163</v>
      </c>
      <c r="B110" s="9" t="s">
        <v>149</v>
      </c>
      <c r="C110" s="9" t="s">
        <v>143</v>
      </c>
      <c r="D110" s="9" t="s">
        <v>144</v>
      </c>
      <c r="E110" s="9" t="s">
        <v>13</v>
      </c>
      <c r="F110" s="9" t="s">
        <v>14</v>
      </c>
      <c r="G110" s="10">
        <v>2268</v>
      </c>
      <c r="H110" s="11">
        <v>266.59942000000001</v>
      </c>
      <c r="I110" s="12">
        <v>604704.18000000005</v>
      </c>
      <c r="J110" s="12">
        <v>0</v>
      </c>
      <c r="K110" s="12">
        <v>0</v>
      </c>
      <c r="L110" s="12">
        <v>0</v>
      </c>
    </row>
    <row r="111" spans="1:12" ht="16.5" customHeight="1">
      <c r="A111" s="9" t="s">
        <v>163</v>
      </c>
      <c r="B111" s="9" t="s">
        <v>149</v>
      </c>
      <c r="C111" s="9" t="s">
        <v>143</v>
      </c>
      <c r="D111" s="9" t="s">
        <v>144</v>
      </c>
      <c r="E111" s="9" t="s">
        <v>11</v>
      </c>
      <c r="F111" s="9" t="s">
        <v>12</v>
      </c>
      <c r="G111" s="10">
        <v>2569</v>
      </c>
      <c r="H111" s="11">
        <v>230.85553999999999</v>
      </c>
      <c r="I111" s="12">
        <v>593132.12</v>
      </c>
      <c r="J111" s="12">
        <v>0</v>
      </c>
      <c r="K111" s="12">
        <v>0</v>
      </c>
      <c r="L111" s="12">
        <v>0</v>
      </c>
    </row>
    <row r="112" spans="1:12" ht="16.5" customHeight="1">
      <c r="A112" s="9" t="s">
        <v>163</v>
      </c>
      <c r="B112" s="9" t="s">
        <v>149</v>
      </c>
      <c r="C112" s="9" t="s">
        <v>143</v>
      </c>
      <c r="D112" s="9" t="s">
        <v>144</v>
      </c>
      <c r="E112" s="9" t="s">
        <v>83</v>
      </c>
      <c r="F112" s="9" t="s">
        <v>84</v>
      </c>
      <c r="G112" s="10">
        <v>1140</v>
      </c>
      <c r="H112" s="11">
        <v>502.38094000000001</v>
      </c>
      <c r="I112" s="12">
        <v>572742.77</v>
      </c>
      <c r="J112" s="12">
        <v>0</v>
      </c>
      <c r="K112" s="12">
        <v>0</v>
      </c>
      <c r="L112" s="12">
        <v>0</v>
      </c>
    </row>
    <row r="113" spans="1:12" ht="16.5" customHeight="1">
      <c r="A113" s="9" t="s">
        <v>163</v>
      </c>
      <c r="B113" s="9" t="s">
        <v>149</v>
      </c>
      <c r="C113" s="9" t="s">
        <v>143</v>
      </c>
      <c r="D113" s="9" t="s">
        <v>144</v>
      </c>
      <c r="E113" s="9" t="s">
        <v>43</v>
      </c>
      <c r="F113" s="9" t="s">
        <v>44</v>
      </c>
      <c r="G113" s="10">
        <v>1664</v>
      </c>
      <c r="H113" s="11">
        <v>362.85347000000002</v>
      </c>
      <c r="I113" s="12">
        <v>603829.78</v>
      </c>
      <c r="J113" s="12">
        <v>0</v>
      </c>
      <c r="K113" s="12">
        <v>0</v>
      </c>
      <c r="L113" s="12">
        <v>0</v>
      </c>
    </row>
    <row r="114" spans="1:12" ht="16.5" customHeight="1">
      <c r="A114" s="9" t="s">
        <v>163</v>
      </c>
      <c r="B114" s="9" t="s">
        <v>149</v>
      </c>
      <c r="C114" s="9" t="s">
        <v>143</v>
      </c>
      <c r="D114" s="9" t="s">
        <v>144</v>
      </c>
      <c r="E114" s="9" t="s">
        <v>47</v>
      </c>
      <c r="F114" s="9" t="s">
        <v>48</v>
      </c>
      <c r="G114" s="10">
        <v>1869</v>
      </c>
      <c r="H114" s="11">
        <v>310.26400000000001</v>
      </c>
      <c r="I114" s="12">
        <v>579930.15</v>
      </c>
      <c r="J114" s="12">
        <v>0</v>
      </c>
      <c r="K114" s="12">
        <v>0</v>
      </c>
      <c r="L114" s="12">
        <v>0</v>
      </c>
    </row>
    <row r="115" spans="1:12" ht="16.5" customHeight="1">
      <c r="A115" s="9" t="s">
        <v>163</v>
      </c>
      <c r="B115" s="9" t="s">
        <v>154</v>
      </c>
      <c r="C115" s="9" t="s">
        <v>143</v>
      </c>
      <c r="D115" s="9" t="s">
        <v>144</v>
      </c>
      <c r="E115" s="9" t="s">
        <v>19</v>
      </c>
      <c r="F115" s="9" t="s">
        <v>20</v>
      </c>
      <c r="G115" s="10">
        <v>107519</v>
      </c>
      <c r="H115" s="11">
        <v>145.2568</v>
      </c>
      <c r="I115" s="12">
        <v>15620553.859999999</v>
      </c>
      <c r="J115" s="12">
        <v>0</v>
      </c>
      <c r="K115" s="12">
        <v>0</v>
      </c>
      <c r="L115" s="12">
        <v>0</v>
      </c>
    </row>
    <row r="116" spans="1:12" ht="16.5" customHeight="1">
      <c r="A116" s="9" t="s">
        <v>163</v>
      </c>
      <c r="B116" s="9" t="s">
        <v>154</v>
      </c>
      <c r="C116" s="9" t="s">
        <v>143</v>
      </c>
      <c r="D116" s="9" t="s">
        <v>144</v>
      </c>
      <c r="E116" s="9" t="s">
        <v>91</v>
      </c>
      <c r="F116" s="9" t="s">
        <v>92</v>
      </c>
      <c r="G116" s="10">
        <v>58117</v>
      </c>
      <c r="H116" s="11">
        <v>256.50369999999998</v>
      </c>
      <c r="I116" s="12">
        <v>14908969.039999999</v>
      </c>
      <c r="J116" s="12">
        <v>0</v>
      </c>
      <c r="K116" s="12">
        <v>0</v>
      </c>
      <c r="L116" s="12">
        <v>0</v>
      </c>
    </row>
    <row r="117" spans="1:12" ht="16.5" customHeight="1">
      <c r="A117" s="9" t="s">
        <v>163</v>
      </c>
      <c r="B117" s="9" t="s">
        <v>154</v>
      </c>
      <c r="C117" s="9" t="s">
        <v>147</v>
      </c>
      <c r="D117" s="9" t="s">
        <v>144</v>
      </c>
      <c r="E117" s="9" t="s">
        <v>67</v>
      </c>
      <c r="F117" s="9" t="s">
        <v>68</v>
      </c>
      <c r="G117" s="10">
        <v>146381</v>
      </c>
      <c r="H117" s="11">
        <v>92.269400000000005</v>
      </c>
      <c r="I117" s="12">
        <v>13503559.42</v>
      </c>
      <c r="J117" s="12">
        <v>102.69074999999999</v>
      </c>
      <c r="K117" s="12">
        <v>15031975.09</v>
      </c>
      <c r="L117" s="12">
        <v>-1528415.67</v>
      </c>
    </row>
    <row r="118" spans="1:12" ht="16.5" customHeight="1">
      <c r="A118" s="9" t="s">
        <v>163</v>
      </c>
      <c r="B118" s="9" t="s">
        <v>154</v>
      </c>
      <c r="C118" s="9" t="s">
        <v>147</v>
      </c>
      <c r="D118" s="9" t="s">
        <v>144</v>
      </c>
      <c r="E118" s="9" t="s">
        <v>103</v>
      </c>
      <c r="F118" s="9" t="s">
        <v>104</v>
      </c>
      <c r="G118" s="10">
        <v>58896</v>
      </c>
      <c r="H118" s="11">
        <v>72.280199999999994</v>
      </c>
      <c r="I118" s="12">
        <v>4255836.74</v>
      </c>
      <c r="J118" s="12">
        <v>84.957250000000002</v>
      </c>
      <c r="K118" s="12">
        <v>5003641.92</v>
      </c>
      <c r="L118" s="12">
        <v>-747805.18</v>
      </c>
    </row>
    <row r="119" spans="1:12" ht="16.5" customHeight="1">
      <c r="A119" s="9" t="s">
        <v>163</v>
      </c>
      <c r="B119" s="9" t="s">
        <v>151</v>
      </c>
      <c r="C119" s="9" t="s">
        <v>147</v>
      </c>
      <c r="D119" s="9" t="s">
        <v>144</v>
      </c>
      <c r="E119" s="9" t="s">
        <v>59</v>
      </c>
      <c r="F119" s="9" t="s">
        <v>60</v>
      </c>
      <c r="G119" s="10">
        <v>7525</v>
      </c>
      <c r="H119" s="11">
        <v>114.41043999999999</v>
      </c>
      <c r="I119" s="12">
        <v>860750.43</v>
      </c>
      <c r="J119" s="12">
        <v>134.20436000000001</v>
      </c>
      <c r="K119" s="12">
        <v>1009887.82</v>
      </c>
      <c r="L119" s="12">
        <v>-149137.39000000001</v>
      </c>
    </row>
    <row r="120" spans="1:12" ht="16.5" customHeight="1">
      <c r="A120" s="9" t="s">
        <v>163</v>
      </c>
      <c r="B120" s="9" t="s">
        <v>151</v>
      </c>
      <c r="C120" s="9" t="s">
        <v>147</v>
      </c>
      <c r="D120" s="9" t="s">
        <v>144</v>
      </c>
      <c r="E120" s="9" t="s">
        <v>99</v>
      </c>
      <c r="F120" s="9" t="s">
        <v>100</v>
      </c>
      <c r="G120" s="10">
        <v>15087</v>
      </c>
      <c r="H120" s="11">
        <v>42.400759999999998</v>
      </c>
      <c r="I120" s="12">
        <v>639323.15</v>
      </c>
      <c r="J120" s="12">
        <v>67.460279999999997</v>
      </c>
      <c r="K120" s="12">
        <v>1017773.21</v>
      </c>
      <c r="L120" s="12">
        <v>-378450.06</v>
      </c>
    </row>
    <row r="121" spans="1:12" ht="16.5" customHeight="1">
      <c r="A121" s="9" t="s">
        <v>163</v>
      </c>
      <c r="B121" s="9" t="s">
        <v>151</v>
      </c>
      <c r="C121" s="9" t="s">
        <v>147</v>
      </c>
      <c r="D121" s="9" t="s">
        <v>144</v>
      </c>
      <c r="E121" s="9" t="s">
        <v>65</v>
      </c>
      <c r="F121" s="9" t="s">
        <v>66</v>
      </c>
      <c r="G121" s="10">
        <v>1484</v>
      </c>
      <c r="H121" s="11">
        <v>51.534930000000003</v>
      </c>
      <c r="I121" s="12">
        <v>76440.73</v>
      </c>
      <c r="J121" s="12">
        <v>63.492649999999998</v>
      </c>
      <c r="K121" s="12">
        <v>94223.1</v>
      </c>
      <c r="L121" s="12">
        <v>-17782.37</v>
      </c>
    </row>
    <row r="122" spans="1:12" ht="16.5" customHeight="1">
      <c r="A122" s="9" t="s">
        <v>163</v>
      </c>
      <c r="B122" s="9" t="s">
        <v>152</v>
      </c>
      <c r="C122" s="9" t="s">
        <v>147</v>
      </c>
      <c r="D122" s="9" t="s">
        <v>144</v>
      </c>
      <c r="E122" s="9" t="s">
        <v>81</v>
      </c>
      <c r="F122" s="9" t="s">
        <v>82</v>
      </c>
      <c r="G122" s="10">
        <v>2978</v>
      </c>
      <c r="H122" s="11">
        <v>115.5626</v>
      </c>
      <c r="I122" s="12">
        <v>344085.86</v>
      </c>
      <c r="J122" s="12">
        <v>158.72193999999999</v>
      </c>
      <c r="K122" s="12">
        <v>472673.93</v>
      </c>
      <c r="L122" s="12">
        <v>-128588.07</v>
      </c>
    </row>
    <row r="123" spans="1:12" ht="16.5" customHeight="1">
      <c r="A123" s="9" t="s">
        <v>163</v>
      </c>
      <c r="B123" s="9" t="s">
        <v>152</v>
      </c>
      <c r="C123" s="9" t="s">
        <v>147</v>
      </c>
      <c r="D123" s="9" t="s">
        <v>144</v>
      </c>
      <c r="E123" s="9" t="s">
        <v>99</v>
      </c>
      <c r="F123" s="9" t="s">
        <v>100</v>
      </c>
      <c r="G123" s="10">
        <v>15089</v>
      </c>
      <c r="H123" s="11">
        <v>42.395600000000002</v>
      </c>
      <c r="I123" s="12">
        <v>639405.43000000005</v>
      </c>
      <c r="J123" s="12">
        <v>67.459519999999998</v>
      </c>
      <c r="K123" s="12">
        <v>1017896.77</v>
      </c>
      <c r="L123" s="12">
        <v>-378491.34</v>
      </c>
    </row>
    <row r="124" spans="1:12" ht="16.5" customHeight="1">
      <c r="A124" s="9" t="s">
        <v>163</v>
      </c>
      <c r="B124" s="9" t="s">
        <v>152</v>
      </c>
      <c r="C124" s="9" t="s">
        <v>147</v>
      </c>
      <c r="D124" s="9" t="s">
        <v>144</v>
      </c>
      <c r="E124" s="9" t="s">
        <v>65</v>
      </c>
      <c r="F124" s="9" t="s">
        <v>66</v>
      </c>
      <c r="G124" s="10">
        <v>1700</v>
      </c>
      <c r="H124" s="11">
        <v>51.192900000000002</v>
      </c>
      <c r="I124" s="12">
        <v>86993.93</v>
      </c>
      <c r="J124" s="12">
        <v>63.49147</v>
      </c>
      <c r="K124" s="12">
        <v>107935.5</v>
      </c>
      <c r="L124" s="12">
        <v>-20941.57</v>
      </c>
    </row>
    <row r="125" spans="1:12" ht="16.5" customHeight="1">
      <c r="A125" s="9" t="s">
        <v>163</v>
      </c>
      <c r="B125" s="9" t="s">
        <v>155</v>
      </c>
      <c r="C125" s="9" t="s">
        <v>143</v>
      </c>
      <c r="D125" s="9" t="s">
        <v>144</v>
      </c>
      <c r="E125" s="9" t="s">
        <v>79</v>
      </c>
      <c r="F125" s="9" t="s">
        <v>80</v>
      </c>
      <c r="G125" s="10">
        <v>2643</v>
      </c>
      <c r="H125" s="11">
        <v>218.46294</v>
      </c>
      <c r="I125" s="12">
        <v>577463.62</v>
      </c>
      <c r="J125" s="12">
        <v>0</v>
      </c>
      <c r="K125" s="12">
        <v>0</v>
      </c>
      <c r="L125" s="12">
        <v>0</v>
      </c>
    </row>
    <row r="126" spans="1:12" ht="16.5" customHeight="1">
      <c r="A126" s="9" t="s">
        <v>163</v>
      </c>
      <c r="B126" s="9" t="s">
        <v>155</v>
      </c>
      <c r="C126" s="9" t="s">
        <v>143</v>
      </c>
      <c r="D126" s="9" t="s">
        <v>144</v>
      </c>
      <c r="E126" s="9" t="s">
        <v>9</v>
      </c>
      <c r="F126" s="9" t="s">
        <v>10</v>
      </c>
      <c r="G126" s="10">
        <v>2856</v>
      </c>
      <c r="H126" s="11">
        <v>204.79349999999999</v>
      </c>
      <c r="I126" s="12">
        <v>584961.64</v>
      </c>
      <c r="J126" s="12">
        <v>0</v>
      </c>
      <c r="K126" s="12">
        <v>0</v>
      </c>
      <c r="L126" s="12">
        <v>0</v>
      </c>
    </row>
    <row r="127" spans="1:12" ht="16.5" customHeight="1">
      <c r="A127" s="9" t="s">
        <v>163</v>
      </c>
      <c r="B127" s="9" t="s">
        <v>155</v>
      </c>
      <c r="C127" s="9" t="s">
        <v>143</v>
      </c>
      <c r="D127" s="9" t="s">
        <v>144</v>
      </c>
      <c r="E127" s="9" t="s">
        <v>73</v>
      </c>
      <c r="F127" s="9" t="s">
        <v>74</v>
      </c>
      <c r="G127" s="10">
        <v>4518</v>
      </c>
      <c r="H127" s="11">
        <v>127.95809</v>
      </c>
      <c r="I127" s="12">
        <v>578227.6</v>
      </c>
      <c r="J127" s="12">
        <v>0</v>
      </c>
      <c r="K127" s="12">
        <v>0</v>
      </c>
      <c r="L127" s="12">
        <v>0</v>
      </c>
    </row>
    <row r="128" spans="1:12" ht="16.5" customHeight="1">
      <c r="A128" s="9" t="s">
        <v>163</v>
      </c>
      <c r="B128" s="9" t="s">
        <v>155</v>
      </c>
      <c r="C128" s="9" t="s">
        <v>143</v>
      </c>
      <c r="D128" s="9" t="s">
        <v>144</v>
      </c>
      <c r="E128" s="9" t="s">
        <v>7</v>
      </c>
      <c r="F128" s="9" t="s">
        <v>8</v>
      </c>
      <c r="G128" s="10">
        <v>1905</v>
      </c>
      <c r="H128" s="11">
        <v>313.92926999999997</v>
      </c>
      <c r="I128" s="12">
        <v>598082.88</v>
      </c>
      <c r="J128" s="12">
        <v>0</v>
      </c>
      <c r="K128" s="12">
        <v>0</v>
      </c>
      <c r="L128" s="12">
        <v>0</v>
      </c>
    </row>
    <row r="129" spans="1:12" ht="16.5" customHeight="1">
      <c r="A129" s="9" t="s">
        <v>163</v>
      </c>
      <c r="B129" s="9" t="s">
        <v>155</v>
      </c>
      <c r="C129" s="9" t="s">
        <v>143</v>
      </c>
      <c r="D129" s="9" t="s">
        <v>144</v>
      </c>
      <c r="E129" s="9" t="s">
        <v>35</v>
      </c>
      <c r="F129" s="9" t="s">
        <v>36</v>
      </c>
      <c r="G129" s="10">
        <v>1510</v>
      </c>
      <c r="H129" s="11">
        <v>386.80946999999998</v>
      </c>
      <c r="I129" s="12">
        <v>584120.05000000005</v>
      </c>
      <c r="J129" s="12">
        <v>0</v>
      </c>
      <c r="K129" s="12">
        <v>0</v>
      </c>
      <c r="L129" s="12">
        <v>0</v>
      </c>
    </row>
    <row r="130" spans="1:12" ht="16.5" customHeight="1">
      <c r="A130" s="9" t="s">
        <v>164</v>
      </c>
      <c r="B130" s="9" t="s">
        <v>149</v>
      </c>
      <c r="C130" s="9" t="s">
        <v>143</v>
      </c>
      <c r="D130" s="9" t="s">
        <v>144</v>
      </c>
      <c r="E130" s="9" t="s">
        <v>13</v>
      </c>
      <c r="F130" s="9" t="s">
        <v>14</v>
      </c>
      <c r="G130" s="10">
        <v>2254</v>
      </c>
      <c r="H130" s="11">
        <v>272.6232</v>
      </c>
      <c r="I130" s="12">
        <v>614560.31000000006</v>
      </c>
      <c r="J130" s="12">
        <v>0</v>
      </c>
      <c r="K130" s="12">
        <v>0</v>
      </c>
      <c r="L130" s="12">
        <v>0</v>
      </c>
    </row>
    <row r="131" spans="1:12" ht="16.5" customHeight="1">
      <c r="A131" s="9" t="s">
        <v>164</v>
      </c>
      <c r="B131" s="9" t="s">
        <v>149</v>
      </c>
      <c r="C131" s="9" t="s">
        <v>143</v>
      </c>
      <c r="D131" s="9" t="s">
        <v>144</v>
      </c>
      <c r="E131" s="9" t="s">
        <v>11</v>
      </c>
      <c r="F131" s="9" t="s">
        <v>12</v>
      </c>
      <c r="G131" s="10">
        <v>2592</v>
      </c>
      <c r="H131" s="11">
        <v>235.13499999999999</v>
      </c>
      <c r="I131" s="12">
        <v>609547.68000000005</v>
      </c>
      <c r="J131" s="12">
        <v>0</v>
      </c>
      <c r="K131" s="12">
        <v>0</v>
      </c>
      <c r="L131" s="12">
        <v>0</v>
      </c>
    </row>
    <row r="132" spans="1:12" ht="16.5" customHeight="1">
      <c r="A132" s="9" t="s">
        <v>164</v>
      </c>
      <c r="B132" s="9" t="s">
        <v>149</v>
      </c>
      <c r="C132" s="9" t="s">
        <v>143</v>
      </c>
      <c r="D132" s="9" t="s">
        <v>144</v>
      </c>
      <c r="E132" s="9" t="s">
        <v>83</v>
      </c>
      <c r="F132" s="9" t="s">
        <v>84</v>
      </c>
      <c r="G132" s="10">
        <v>1210</v>
      </c>
      <c r="H132" s="11">
        <v>495.64109999999999</v>
      </c>
      <c r="I132" s="12">
        <v>599762.03</v>
      </c>
      <c r="J132" s="12">
        <v>0</v>
      </c>
      <c r="K132" s="12">
        <v>0</v>
      </c>
      <c r="L132" s="12">
        <v>0</v>
      </c>
    </row>
    <row r="133" spans="1:12" ht="16.5" customHeight="1">
      <c r="A133" s="9" t="s">
        <v>164</v>
      </c>
      <c r="B133" s="9" t="s">
        <v>149</v>
      </c>
      <c r="C133" s="9" t="s">
        <v>143</v>
      </c>
      <c r="D133" s="9" t="s">
        <v>144</v>
      </c>
      <c r="E133" s="9" t="s">
        <v>43</v>
      </c>
      <c r="F133" s="9" t="s">
        <v>44</v>
      </c>
      <c r="G133" s="10">
        <v>1647</v>
      </c>
      <c r="H133" s="11">
        <v>365.62299999999999</v>
      </c>
      <c r="I133" s="12">
        <v>602230.49</v>
      </c>
      <c r="J133" s="12">
        <v>0</v>
      </c>
      <c r="K133" s="12">
        <v>0</v>
      </c>
      <c r="L133" s="12">
        <v>0</v>
      </c>
    </row>
    <row r="134" spans="1:12" ht="16.5" customHeight="1">
      <c r="A134" s="9" t="s">
        <v>164</v>
      </c>
      <c r="B134" s="9" t="s">
        <v>149</v>
      </c>
      <c r="C134" s="9" t="s">
        <v>143</v>
      </c>
      <c r="D134" s="9" t="s">
        <v>144</v>
      </c>
      <c r="E134" s="9" t="s">
        <v>47</v>
      </c>
      <c r="F134" s="9" t="s">
        <v>48</v>
      </c>
      <c r="G134" s="10">
        <v>1957</v>
      </c>
      <c r="H134" s="11">
        <v>306.31939999999997</v>
      </c>
      <c r="I134" s="12">
        <v>599525.78</v>
      </c>
      <c r="J134" s="12">
        <v>0</v>
      </c>
      <c r="K134" s="12">
        <v>0</v>
      </c>
      <c r="L134" s="12">
        <v>0</v>
      </c>
    </row>
    <row r="135" spans="1:12" ht="16.5" customHeight="1">
      <c r="A135" s="9" t="s">
        <v>164</v>
      </c>
      <c r="B135" s="9" t="s">
        <v>154</v>
      </c>
      <c r="C135" s="9" t="s">
        <v>147</v>
      </c>
      <c r="D135" s="9" t="s">
        <v>144</v>
      </c>
      <c r="E135" s="9" t="s">
        <v>103</v>
      </c>
      <c r="F135" s="9" t="s">
        <v>104</v>
      </c>
      <c r="G135" s="10">
        <v>58896</v>
      </c>
      <c r="H135" s="11">
        <v>73.649659999999997</v>
      </c>
      <c r="I135" s="12">
        <v>4336197.74</v>
      </c>
      <c r="J135" s="12">
        <v>84.957250000000002</v>
      </c>
      <c r="K135" s="12">
        <v>5003641.92</v>
      </c>
      <c r="L135" s="12">
        <v>-667444.18000000005</v>
      </c>
    </row>
    <row r="136" spans="1:12" ht="16.5" customHeight="1">
      <c r="A136" s="9" t="s">
        <v>164</v>
      </c>
      <c r="B136" s="9" t="s">
        <v>151</v>
      </c>
      <c r="C136" s="9" t="s">
        <v>147</v>
      </c>
      <c r="D136" s="9" t="s">
        <v>144</v>
      </c>
      <c r="E136" s="9" t="s">
        <v>59</v>
      </c>
      <c r="F136" s="9" t="s">
        <v>60</v>
      </c>
      <c r="G136" s="10">
        <v>7525</v>
      </c>
      <c r="H136" s="11">
        <v>114.50147</v>
      </c>
      <c r="I136" s="12">
        <v>861435.4</v>
      </c>
      <c r="J136" s="12">
        <v>134.20436000000001</v>
      </c>
      <c r="K136" s="12">
        <v>1009887.82</v>
      </c>
      <c r="L136" s="12">
        <v>-148452.42000000001</v>
      </c>
    </row>
    <row r="137" spans="1:12" ht="16.5" customHeight="1">
      <c r="A137" s="9" t="s">
        <v>164</v>
      </c>
      <c r="B137" s="9" t="s">
        <v>151</v>
      </c>
      <c r="C137" s="9" t="s">
        <v>147</v>
      </c>
      <c r="D137" s="9" t="s">
        <v>144</v>
      </c>
      <c r="E137" s="9" t="s">
        <v>99</v>
      </c>
      <c r="F137" s="9" t="s">
        <v>100</v>
      </c>
      <c r="G137" s="10">
        <v>15087</v>
      </c>
      <c r="H137" s="11">
        <v>43.23639</v>
      </c>
      <c r="I137" s="12">
        <v>651930.27</v>
      </c>
      <c r="J137" s="12">
        <v>67.459429999999998</v>
      </c>
      <c r="K137" s="12">
        <v>1017760.38</v>
      </c>
      <c r="L137" s="12">
        <v>-365830.11</v>
      </c>
    </row>
    <row r="138" spans="1:12" ht="16.5" customHeight="1">
      <c r="A138" s="9" t="s">
        <v>164</v>
      </c>
      <c r="B138" s="9" t="s">
        <v>151</v>
      </c>
      <c r="C138" s="9" t="s">
        <v>147</v>
      </c>
      <c r="D138" s="9" t="s">
        <v>144</v>
      </c>
      <c r="E138" s="9" t="s">
        <v>65</v>
      </c>
      <c r="F138" s="9" t="s">
        <v>66</v>
      </c>
      <c r="G138" s="10">
        <v>16030</v>
      </c>
      <c r="H138" s="11">
        <v>50.716610000000003</v>
      </c>
      <c r="I138" s="12">
        <v>812586.51</v>
      </c>
      <c r="J138" s="12">
        <v>63.490519999999997</v>
      </c>
      <c r="K138" s="12">
        <v>1017753.1</v>
      </c>
      <c r="L138" s="12">
        <v>-205166.59</v>
      </c>
    </row>
    <row r="139" spans="1:12" ht="16.5" customHeight="1">
      <c r="A139" s="9" t="s">
        <v>164</v>
      </c>
      <c r="B139" s="9" t="s">
        <v>152</v>
      </c>
      <c r="C139" s="9" t="s">
        <v>147</v>
      </c>
      <c r="D139" s="9" t="s">
        <v>144</v>
      </c>
      <c r="E139" s="9" t="s">
        <v>81</v>
      </c>
      <c r="F139" s="9" t="s">
        <v>82</v>
      </c>
      <c r="G139" s="10">
        <v>6340</v>
      </c>
      <c r="H139" s="11">
        <v>116.04649999999999</v>
      </c>
      <c r="I139" s="12">
        <v>735576.31</v>
      </c>
      <c r="J139" s="12">
        <v>158.72328999999999</v>
      </c>
      <c r="K139" s="12">
        <v>1006305.67</v>
      </c>
      <c r="L139" s="12">
        <v>-270729.36</v>
      </c>
    </row>
    <row r="140" spans="1:12" ht="16.5" customHeight="1">
      <c r="A140" s="9" t="s">
        <v>164</v>
      </c>
      <c r="B140" s="9" t="s">
        <v>152</v>
      </c>
      <c r="C140" s="9" t="s">
        <v>147</v>
      </c>
      <c r="D140" s="9" t="s">
        <v>144</v>
      </c>
      <c r="E140" s="9" t="s">
        <v>99</v>
      </c>
      <c r="F140" s="9" t="s">
        <v>100</v>
      </c>
      <c r="G140" s="10">
        <v>15089</v>
      </c>
      <c r="H140" s="11">
        <v>43.259599999999999</v>
      </c>
      <c r="I140" s="12">
        <v>652366.87</v>
      </c>
      <c r="J140" s="12">
        <v>67.461609999999993</v>
      </c>
      <c r="K140" s="12">
        <v>1017928.26</v>
      </c>
      <c r="L140" s="12">
        <v>-365561.39</v>
      </c>
    </row>
    <row r="141" spans="1:12" ht="16.5" customHeight="1">
      <c r="A141" s="9" t="s">
        <v>164</v>
      </c>
      <c r="B141" s="9" t="s">
        <v>152</v>
      </c>
      <c r="C141" s="9" t="s">
        <v>147</v>
      </c>
      <c r="D141" s="9" t="s">
        <v>144</v>
      </c>
      <c r="E141" s="9" t="s">
        <v>65</v>
      </c>
      <c r="F141" s="9" t="s">
        <v>66</v>
      </c>
      <c r="G141" s="10">
        <v>15562</v>
      </c>
      <c r="H141" s="11">
        <v>50.703000000000003</v>
      </c>
      <c r="I141" s="12">
        <v>788651.04</v>
      </c>
      <c r="J141" s="12">
        <v>63.490139999999997</v>
      </c>
      <c r="K141" s="12">
        <v>988033.63</v>
      </c>
      <c r="L141" s="12">
        <v>-199382.59</v>
      </c>
    </row>
    <row r="142" spans="1:12" ht="16.5" customHeight="1">
      <c r="A142" s="9" t="s">
        <v>164</v>
      </c>
      <c r="B142" s="9" t="s">
        <v>155</v>
      </c>
      <c r="C142" s="9" t="s">
        <v>143</v>
      </c>
      <c r="D142" s="9" t="s">
        <v>144</v>
      </c>
      <c r="E142" s="9" t="s">
        <v>79</v>
      </c>
      <c r="F142" s="9" t="s">
        <v>80</v>
      </c>
      <c r="G142" s="10">
        <v>2744</v>
      </c>
      <c r="H142" s="11">
        <v>220.86799999999999</v>
      </c>
      <c r="I142" s="12">
        <v>606130.39</v>
      </c>
      <c r="J142" s="12">
        <v>0</v>
      </c>
      <c r="K142" s="12">
        <v>0</v>
      </c>
      <c r="L142" s="12">
        <v>0</v>
      </c>
    </row>
    <row r="143" spans="1:12" ht="16.5" customHeight="1">
      <c r="A143" s="9" t="s">
        <v>164</v>
      </c>
      <c r="B143" s="9" t="s">
        <v>155</v>
      </c>
      <c r="C143" s="9" t="s">
        <v>143</v>
      </c>
      <c r="D143" s="9" t="s">
        <v>144</v>
      </c>
      <c r="E143" s="9" t="s">
        <v>9</v>
      </c>
      <c r="F143" s="9" t="s">
        <v>10</v>
      </c>
      <c r="G143" s="10">
        <v>2923</v>
      </c>
      <c r="H143" s="11">
        <v>208.1473</v>
      </c>
      <c r="I143" s="12">
        <v>608487.64</v>
      </c>
      <c r="J143" s="12">
        <v>0</v>
      </c>
      <c r="K143" s="12">
        <v>0</v>
      </c>
      <c r="L143" s="12">
        <v>0</v>
      </c>
    </row>
    <row r="144" spans="1:12" ht="16.5" customHeight="1">
      <c r="A144" s="9" t="s">
        <v>164</v>
      </c>
      <c r="B144" s="9" t="s">
        <v>155</v>
      </c>
      <c r="C144" s="9" t="s">
        <v>143</v>
      </c>
      <c r="D144" s="9" t="s">
        <v>144</v>
      </c>
      <c r="E144" s="9" t="s">
        <v>73</v>
      </c>
      <c r="F144" s="9" t="s">
        <v>74</v>
      </c>
      <c r="G144" s="10">
        <v>4708</v>
      </c>
      <c r="H144" s="11">
        <v>128.39070000000001</v>
      </c>
      <c r="I144" s="12">
        <v>604581.12</v>
      </c>
      <c r="J144" s="12">
        <v>0</v>
      </c>
      <c r="K144" s="12">
        <v>0</v>
      </c>
      <c r="L144" s="12">
        <v>0</v>
      </c>
    </row>
    <row r="145" spans="1:12" ht="16.5" customHeight="1">
      <c r="A145" s="9" t="s">
        <v>164</v>
      </c>
      <c r="B145" s="9" t="s">
        <v>155</v>
      </c>
      <c r="C145" s="9" t="s">
        <v>143</v>
      </c>
      <c r="D145" s="9" t="s">
        <v>144</v>
      </c>
      <c r="E145" s="9" t="s">
        <v>7</v>
      </c>
      <c r="F145" s="9" t="s">
        <v>8</v>
      </c>
      <c r="G145" s="10">
        <v>1926</v>
      </c>
      <c r="H145" s="11">
        <v>310.05590000000001</v>
      </c>
      <c r="I145" s="12">
        <v>597215.81000000006</v>
      </c>
      <c r="J145" s="12">
        <v>0</v>
      </c>
      <c r="K145" s="12">
        <v>0</v>
      </c>
      <c r="L145" s="12">
        <v>0</v>
      </c>
    </row>
    <row r="146" spans="1:12" ht="16.5" customHeight="1">
      <c r="A146" s="9" t="s">
        <v>164</v>
      </c>
      <c r="B146" s="9" t="s">
        <v>155</v>
      </c>
      <c r="C146" s="9" t="s">
        <v>143</v>
      </c>
      <c r="D146" s="9" t="s">
        <v>144</v>
      </c>
      <c r="E146" s="9" t="s">
        <v>35</v>
      </c>
      <c r="F146" s="9" t="s">
        <v>36</v>
      </c>
      <c r="G146" s="10">
        <v>1561</v>
      </c>
      <c r="H146" s="11">
        <v>386.82589999999999</v>
      </c>
      <c r="I146" s="12">
        <v>603874.26</v>
      </c>
      <c r="J146" s="12">
        <v>0</v>
      </c>
      <c r="K146" s="12">
        <v>0</v>
      </c>
      <c r="L146" s="12">
        <v>0</v>
      </c>
    </row>
    <row r="147" spans="1:12" ht="16.5" customHeight="1">
      <c r="A147" s="9" t="s">
        <v>165</v>
      </c>
      <c r="B147" s="9" t="s">
        <v>149</v>
      </c>
      <c r="C147" s="9" t="s">
        <v>143</v>
      </c>
      <c r="D147" s="9" t="s">
        <v>144</v>
      </c>
      <c r="E147" s="9" t="s">
        <v>13</v>
      </c>
      <c r="F147" s="9" t="s">
        <v>14</v>
      </c>
      <c r="G147" s="10">
        <v>2205</v>
      </c>
      <c r="H147" s="11">
        <v>273.61689999999999</v>
      </c>
      <c r="I147" s="12">
        <v>603380.39</v>
      </c>
      <c r="J147" s="12">
        <v>0</v>
      </c>
      <c r="K147" s="12">
        <v>0</v>
      </c>
      <c r="L147" s="12">
        <v>0</v>
      </c>
    </row>
    <row r="148" spans="1:12" ht="16.5" customHeight="1">
      <c r="A148" s="9" t="s">
        <v>165</v>
      </c>
      <c r="B148" s="9" t="s">
        <v>149</v>
      </c>
      <c r="C148" s="9" t="s">
        <v>143</v>
      </c>
      <c r="D148" s="9" t="s">
        <v>144</v>
      </c>
      <c r="E148" s="9" t="s">
        <v>11</v>
      </c>
      <c r="F148" s="9" t="s">
        <v>12</v>
      </c>
      <c r="G148" s="10">
        <v>2533</v>
      </c>
      <c r="H148" s="11">
        <v>234.6857</v>
      </c>
      <c r="I148" s="12">
        <v>594522.21</v>
      </c>
      <c r="J148" s="12">
        <v>0</v>
      </c>
      <c r="K148" s="12">
        <v>0</v>
      </c>
      <c r="L148" s="12">
        <v>0</v>
      </c>
    </row>
    <row r="149" spans="1:12" ht="16.5" customHeight="1">
      <c r="A149" s="9" t="s">
        <v>165</v>
      </c>
      <c r="B149" s="9" t="s">
        <v>149</v>
      </c>
      <c r="C149" s="9" t="s">
        <v>143</v>
      </c>
      <c r="D149" s="9" t="s">
        <v>144</v>
      </c>
      <c r="E149" s="9" t="s">
        <v>83</v>
      </c>
      <c r="F149" s="9" t="s">
        <v>84</v>
      </c>
      <c r="G149" s="10">
        <v>1205</v>
      </c>
      <c r="H149" s="11">
        <v>507.77809999999999</v>
      </c>
      <c r="I149" s="12">
        <v>611902.74</v>
      </c>
      <c r="J149" s="12">
        <v>0</v>
      </c>
      <c r="K149" s="12">
        <v>0</v>
      </c>
      <c r="L149" s="12">
        <v>0</v>
      </c>
    </row>
    <row r="150" spans="1:12" ht="16.5" customHeight="1">
      <c r="A150" s="9" t="s">
        <v>165</v>
      </c>
      <c r="B150" s="9" t="s">
        <v>149</v>
      </c>
      <c r="C150" s="9" t="s">
        <v>143</v>
      </c>
      <c r="D150" s="9" t="s">
        <v>144</v>
      </c>
      <c r="E150" s="9" t="s">
        <v>43</v>
      </c>
      <c r="F150" s="9" t="s">
        <v>44</v>
      </c>
      <c r="G150" s="10">
        <v>1645</v>
      </c>
      <c r="H150" s="11">
        <v>357.38479999999998</v>
      </c>
      <c r="I150" s="12">
        <v>587939.13</v>
      </c>
      <c r="J150" s="12">
        <v>0</v>
      </c>
      <c r="K150" s="12">
        <v>0</v>
      </c>
      <c r="L150" s="12">
        <v>0</v>
      </c>
    </row>
    <row r="151" spans="1:12" ht="16.5" customHeight="1">
      <c r="A151" s="9" t="s">
        <v>165</v>
      </c>
      <c r="B151" s="9" t="s">
        <v>149</v>
      </c>
      <c r="C151" s="9" t="s">
        <v>143</v>
      </c>
      <c r="D151" s="9" t="s">
        <v>144</v>
      </c>
      <c r="E151" s="9" t="s">
        <v>47</v>
      </c>
      <c r="F151" s="9" t="s">
        <v>48</v>
      </c>
      <c r="G151" s="10">
        <v>1953</v>
      </c>
      <c r="H151" s="11">
        <v>312.4579</v>
      </c>
      <c r="I151" s="12">
        <v>610279.11</v>
      </c>
      <c r="J151" s="12">
        <v>0</v>
      </c>
      <c r="K151" s="12">
        <v>0</v>
      </c>
      <c r="L151" s="12">
        <v>0</v>
      </c>
    </row>
    <row r="152" spans="1:12" ht="16.5" customHeight="1">
      <c r="A152" s="9" t="s">
        <v>165</v>
      </c>
      <c r="B152" s="9" t="s">
        <v>154</v>
      </c>
      <c r="C152" s="9" t="s">
        <v>147</v>
      </c>
      <c r="D152" s="9" t="s">
        <v>144</v>
      </c>
      <c r="E152" s="9" t="s">
        <v>103</v>
      </c>
      <c r="F152" s="9" t="s">
        <v>104</v>
      </c>
      <c r="G152" s="10">
        <v>60680</v>
      </c>
      <c r="H152" s="11">
        <v>74.234700000000004</v>
      </c>
      <c r="I152" s="12">
        <v>4502741.2</v>
      </c>
      <c r="J152" s="12">
        <v>84.957279999999997</v>
      </c>
      <c r="K152" s="12">
        <v>5155207.59</v>
      </c>
      <c r="L152" s="12">
        <v>-652466.39</v>
      </c>
    </row>
    <row r="153" spans="1:12" ht="16.5" customHeight="1">
      <c r="A153" s="9" t="s">
        <v>165</v>
      </c>
      <c r="B153" s="9" t="s">
        <v>151</v>
      </c>
      <c r="C153" s="9" t="s">
        <v>147</v>
      </c>
      <c r="D153" s="9" t="s">
        <v>144</v>
      </c>
      <c r="E153" s="9" t="s">
        <v>59</v>
      </c>
      <c r="F153" s="9" t="s">
        <v>60</v>
      </c>
      <c r="G153" s="10">
        <v>7525</v>
      </c>
      <c r="H153" s="11">
        <v>116.8403</v>
      </c>
      <c r="I153" s="12">
        <v>878997.51</v>
      </c>
      <c r="J153" s="12">
        <v>134.20436000000001</v>
      </c>
      <c r="K153" s="12">
        <v>1009887.82</v>
      </c>
      <c r="L153" s="12">
        <v>-130890.31</v>
      </c>
    </row>
    <row r="154" spans="1:12" ht="16.5" customHeight="1">
      <c r="A154" s="9" t="s">
        <v>165</v>
      </c>
      <c r="B154" s="9" t="s">
        <v>151</v>
      </c>
      <c r="C154" s="9" t="s">
        <v>147</v>
      </c>
      <c r="D154" s="9" t="s">
        <v>144</v>
      </c>
      <c r="E154" s="9" t="s">
        <v>99</v>
      </c>
      <c r="F154" s="9" t="s">
        <v>100</v>
      </c>
      <c r="G154" s="10">
        <v>15087</v>
      </c>
      <c r="H154" s="11">
        <v>43.939900000000002</v>
      </c>
      <c r="I154" s="12">
        <v>662468.66</v>
      </c>
      <c r="J154" s="12">
        <v>67.461609999999993</v>
      </c>
      <c r="K154" s="12">
        <v>1017793.27</v>
      </c>
      <c r="L154" s="12">
        <v>-355324.61</v>
      </c>
    </row>
    <row r="155" spans="1:12" ht="16.5" customHeight="1">
      <c r="A155" s="9" t="s">
        <v>165</v>
      </c>
      <c r="B155" s="9" t="s">
        <v>151</v>
      </c>
      <c r="C155" s="9" t="s">
        <v>147</v>
      </c>
      <c r="D155" s="9" t="s">
        <v>144</v>
      </c>
      <c r="E155" s="9" t="s">
        <v>65</v>
      </c>
      <c r="F155" s="9" t="s">
        <v>66</v>
      </c>
      <c r="G155" s="10">
        <v>30576</v>
      </c>
      <c r="H155" s="11">
        <v>51.446899999999999</v>
      </c>
      <c r="I155" s="12">
        <v>1572123.13</v>
      </c>
      <c r="J155" s="12">
        <v>63.49091</v>
      </c>
      <c r="K155" s="12">
        <v>1941297.92</v>
      </c>
      <c r="L155" s="12">
        <v>-369174.79</v>
      </c>
    </row>
    <row r="156" spans="1:12" ht="16.5" customHeight="1">
      <c r="A156" s="9" t="s">
        <v>165</v>
      </c>
      <c r="B156" s="9" t="s">
        <v>152</v>
      </c>
      <c r="C156" s="9" t="s">
        <v>147</v>
      </c>
      <c r="D156" s="9" t="s">
        <v>144</v>
      </c>
      <c r="E156" s="9" t="s">
        <v>81</v>
      </c>
      <c r="F156" s="9" t="s">
        <v>82</v>
      </c>
      <c r="G156" s="10">
        <v>9702</v>
      </c>
      <c r="H156" s="11">
        <v>117.74339999999999</v>
      </c>
      <c r="I156" s="12">
        <v>1142103.92</v>
      </c>
      <c r="J156" s="12">
        <v>158.72245000000001</v>
      </c>
      <c r="K156" s="12">
        <v>1539925.25</v>
      </c>
      <c r="L156" s="12">
        <v>-397821.33</v>
      </c>
    </row>
    <row r="157" spans="1:12" ht="16.5" customHeight="1">
      <c r="A157" s="9" t="s">
        <v>165</v>
      </c>
      <c r="B157" s="9" t="s">
        <v>152</v>
      </c>
      <c r="C157" s="9" t="s">
        <v>147</v>
      </c>
      <c r="D157" s="9" t="s">
        <v>144</v>
      </c>
      <c r="E157" s="9" t="s">
        <v>99</v>
      </c>
      <c r="F157" s="9" t="s">
        <v>100</v>
      </c>
      <c r="G157" s="10">
        <v>15089</v>
      </c>
      <c r="H157" s="11">
        <v>43.836300000000001</v>
      </c>
      <c r="I157" s="12">
        <v>661068.69999999995</v>
      </c>
      <c r="J157" s="12">
        <v>67.458010000000002</v>
      </c>
      <c r="K157" s="12">
        <v>1017873.91</v>
      </c>
      <c r="L157" s="12">
        <v>-356805.21</v>
      </c>
    </row>
    <row r="158" spans="1:12" ht="16.5" customHeight="1">
      <c r="A158" s="9" t="s">
        <v>165</v>
      </c>
      <c r="B158" s="9" t="s">
        <v>152</v>
      </c>
      <c r="C158" s="9" t="s">
        <v>147</v>
      </c>
      <c r="D158" s="9" t="s">
        <v>144</v>
      </c>
      <c r="E158" s="9" t="s">
        <v>65</v>
      </c>
      <c r="F158" s="9" t="s">
        <v>66</v>
      </c>
      <c r="G158" s="10">
        <v>29424</v>
      </c>
      <c r="H158" s="11">
        <v>51.439799999999998</v>
      </c>
      <c r="I158" s="12">
        <v>1512829.08</v>
      </c>
      <c r="J158" s="12">
        <v>63.49</v>
      </c>
      <c r="K158" s="12">
        <v>1868129.89</v>
      </c>
      <c r="L158" s="12">
        <v>-355300.81</v>
      </c>
    </row>
    <row r="159" spans="1:12" ht="16.5" customHeight="1">
      <c r="A159" s="9" t="s">
        <v>165</v>
      </c>
      <c r="B159" s="9" t="s">
        <v>155</v>
      </c>
      <c r="C159" s="9" t="s">
        <v>143</v>
      </c>
      <c r="D159" s="9" t="s">
        <v>144</v>
      </c>
      <c r="E159" s="9" t="s">
        <v>79</v>
      </c>
      <c r="F159" s="9" t="s">
        <v>80</v>
      </c>
      <c r="G159" s="10">
        <v>2716</v>
      </c>
      <c r="H159" s="11">
        <v>224.14260999999999</v>
      </c>
      <c r="I159" s="12">
        <v>608839.23</v>
      </c>
      <c r="J159" s="12">
        <v>0</v>
      </c>
      <c r="K159" s="12">
        <v>0</v>
      </c>
      <c r="L159" s="12">
        <v>0</v>
      </c>
    </row>
    <row r="160" spans="1:12" ht="16.5" customHeight="1">
      <c r="A160" s="9" t="s">
        <v>165</v>
      </c>
      <c r="B160" s="9" t="s">
        <v>155</v>
      </c>
      <c r="C160" s="9" t="s">
        <v>143</v>
      </c>
      <c r="D160" s="9" t="s">
        <v>144</v>
      </c>
      <c r="E160" s="9" t="s">
        <v>9</v>
      </c>
      <c r="F160" s="9" t="s">
        <v>10</v>
      </c>
      <c r="G160" s="10">
        <v>2877</v>
      </c>
      <c r="H160" s="11">
        <v>210.13773</v>
      </c>
      <c r="I160" s="12">
        <v>604638.18000000005</v>
      </c>
      <c r="J160" s="12">
        <v>0</v>
      </c>
      <c r="K160" s="12">
        <v>0</v>
      </c>
      <c r="L160" s="12">
        <v>0</v>
      </c>
    </row>
    <row r="161" spans="1:12" ht="16.5" customHeight="1">
      <c r="A161" s="9" t="s">
        <v>165</v>
      </c>
      <c r="B161" s="9" t="s">
        <v>155</v>
      </c>
      <c r="C161" s="9" t="s">
        <v>143</v>
      </c>
      <c r="D161" s="9" t="s">
        <v>144</v>
      </c>
      <c r="E161" s="9" t="s">
        <v>73</v>
      </c>
      <c r="F161" s="9" t="s">
        <v>74</v>
      </c>
      <c r="G161" s="10">
        <v>4659</v>
      </c>
      <c r="H161" s="11">
        <v>132.29649000000001</v>
      </c>
      <c r="I161" s="12">
        <v>616485.81000000006</v>
      </c>
      <c r="J161" s="12">
        <v>0</v>
      </c>
      <c r="K161" s="12">
        <v>0</v>
      </c>
      <c r="L161" s="12">
        <v>0</v>
      </c>
    </row>
    <row r="162" spans="1:12" ht="16.5" customHeight="1">
      <c r="A162" s="9" t="s">
        <v>165</v>
      </c>
      <c r="B162" s="9" t="s">
        <v>155</v>
      </c>
      <c r="C162" s="9" t="s">
        <v>143</v>
      </c>
      <c r="D162" s="9" t="s">
        <v>144</v>
      </c>
      <c r="E162" s="9" t="s">
        <v>7</v>
      </c>
      <c r="F162" s="9" t="s">
        <v>8</v>
      </c>
      <c r="G162" s="10">
        <v>1930</v>
      </c>
      <c r="H162" s="11">
        <v>311.38481000000002</v>
      </c>
      <c r="I162" s="12">
        <v>601020.93000000005</v>
      </c>
      <c r="J162" s="12">
        <v>0</v>
      </c>
      <c r="K162" s="12">
        <v>0</v>
      </c>
      <c r="L162" s="12">
        <v>0</v>
      </c>
    </row>
    <row r="163" spans="1:12" ht="16.5" customHeight="1">
      <c r="A163" s="9" t="s">
        <v>165</v>
      </c>
      <c r="B163" s="9" t="s">
        <v>155</v>
      </c>
      <c r="C163" s="9" t="s">
        <v>143</v>
      </c>
      <c r="D163" s="9" t="s">
        <v>144</v>
      </c>
      <c r="E163" s="9" t="s">
        <v>35</v>
      </c>
      <c r="F163" s="9" t="s">
        <v>36</v>
      </c>
      <c r="G163" s="10">
        <v>1542</v>
      </c>
      <c r="H163" s="11">
        <v>397.87866000000002</v>
      </c>
      <c r="I163" s="12">
        <v>613567.44999999995</v>
      </c>
      <c r="J163" s="12">
        <v>0</v>
      </c>
      <c r="K163" s="12">
        <v>0</v>
      </c>
      <c r="L163" s="12">
        <v>0</v>
      </c>
    </row>
    <row r="164" spans="1:12" ht="16.5" customHeight="1">
      <c r="A164" s="9" t="s">
        <v>166</v>
      </c>
      <c r="B164" s="9" t="s">
        <v>151</v>
      </c>
      <c r="C164" s="9" t="s">
        <v>147</v>
      </c>
      <c r="D164" s="9" t="s">
        <v>144</v>
      </c>
      <c r="E164" s="9" t="s">
        <v>59</v>
      </c>
      <c r="F164" s="9" t="s">
        <v>60</v>
      </c>
      <c r="G164" s="10">
        <v>7525</v>
      </c>
      <c r="H164" s="11">
        <v>106.1671</v>
      </c>
      <c r="I164" s="12">
        <v>798719.3</v>
      </c>
      <c r="J164" s="12">
        <v>134.20436000000001</v>
      </c>
      <c r="K164" s="12">
        <v>1009887.82</v>
      </c>
      <c r="L164" s="12">
        <v>-211168.52</v>
      </c>
    </row>
    <row r="165" spans="1:12" ht="16.5" customHeight="1">
      <c r="A165" s="9" t="s">
        <v>166</v>
      </c>
      <c r="B165" s="9" t="s">
        <v>151</v>
      </c>
      <c r="C165" s="9" t="s">
        <v>147</v>
      </c>
      <c r="D165" s="9" t="s">
        <v>144</v>
      </c>
      <c r="E165" s="9" t="s">
        <v>99</v>
      </c>
      <c r="F165" s="9" t="s">
        <v>100</v>
      </c>
      <c r="G165" s="10">
        <v>15087</v>
      </c>
      <c r="H165" s="11">
        <v>43.923299999999998</v>
      </c>
      <c r="I165" s="12">
        <v>662293.65</v>
      </c>
      <c r="J165" s="12">
        <v>67.458669999999998</v>
      </c>
      <c r="K165" s="12">
        <v>1017748.97</v>
      </c>
      <c r="L165" s="12">
        <v>-355455.32</v>
      </c>
    </row>
    <row r="166" spans="1:12" ht="16.5" customHeight="1">
      <c r="A166" s="9" t="s">
        <v>166</v>
      </c>
      <c r="B166" s="9" t="s">
        <v>151</v>
      </c>
      <c r="C166" s="9" t="s">
        <v>147</v>
      </c>
      <c r="D166" s="9" t="s">
        <v>144</v>
      </c>
      <c r="E166" s="9" t="s">
        <v>65</v>
      </c>
      <c r="F166" s="9" t="s">
        <v>66</v>
      </c>
      <c r="G166" s="10">
        <v>16030</v>
      </c>
      <c r="H166" s="11">
        <v>52.078600000000002</v>
      </c>
      <c r="I166" s="12">
        <v>834419.21</v>
      </c>
      <c r="J166" s="12">
        <v>63.489840000000001</v>
      </c>
      <c r="K166" s="12">
        <v>1017742.15</v>
      </c>
      <c r="L166" s="12">
        <v>-183322.94</v>
      </c>
    </row>
    <row r="167" spans="1:12" ht="16.5" customHeight="1">
      <c r="A167" s="9" t="s">
        <v>166</v>
      </c>
      <c r="B167" s="9" t="s">
        <v>152</v>
      </c>
      <c r="C167" s="9" t="s">
        <v>147</v>
      </c>
      <c r="D167" s="9" t="s">
        <v>144</v>
      </c>
      <c r="E167" s="9" t="s">
        <v>81</v>
      </c>
      <c r="F167" s="9" t="s">
        <v>82</v>
      </c>
      <c r="G167" s="10">
        <v>6340</v>
      </c>
      <c r="H167" s="11">
        <v>114.31094</v>
      </c>
      <c r="I167" s="12">
        <v>724572.88</v>
      </c>
      <c r="J167" s="12">
        <v>158.72328999999999</v>
      </c>
      <c r="K167" s="12">
        <v>1006305.68</v>
      </c>
      <c r="L167" s="12">
        <v>-281732.8</v>
      </c>
    </row>
    <row r="168" spans="1:12" ht="16.5" customHeight="1">
      <c r="A168" s="9" t="s">
        <v>166</v>
      </c>
      <c r="B168" s="9" t="s">
        <v>152</v>
      </c>
      <c r="C168" s="9" t="s">
        <v>147</v>
      </c>
      <c r="D168" s="9" t="s">
        <v>144</v>
      </c>
      <c r="E168" s="9" t="s">
        <v>99</v>
      </c>
      <c r="F168" s="9" t="s">
        <v>100</v>
      </c>
      <c r="G168" s="10">
        <v>15090</v>
      </c>
      <c r="H168" s="11">
        <v>43.957520000000002</v>
      </c>
      <c r="I168" s="12">
        <v>662941.67000000004</v>
      </c>
      <c r="J168" s="12">
        <v>67.458010000000002</v>
      </c>
      <c r="K168" s="12">
        <v>1017941.42</v>
      </c>
      <c r="L168" s="12">
        <v>-354999.75</v>
      </c>
    </row>
    <row r="169" spans="1:12" ht="16.5" customHeight="1">
      <c r="A169" s="9" t="s">
        <v>166</v>
      </c>
      <c r="B169" s="9" t="s">
        <v>152</v>
      </c>
      <c r="C169" s="9" t="s">
        <v>147</v>
      </c>
      <c r="D169" s="9" t="s">
        <v>144</v>
      </c>
      <c r="E169" s="9" t="s">
        <v>65</v>
      </c>
      <c r="F169" s="9" t="s">
        <v>66</v>
      </c>
      <c r="G169" s="10">
        <v>15561</v>
      </c>
      <c r="H169" s="11">
        <v>52.120739999999998</v>
      </c>
      <c r="I169" s="12">
        <v>810661.85</v>
      </c>
      <c r="J169" s="12">
        <v>63.490119999999997</v>
      </c>
      <c r="K169" s="12">
        <v>987969.81</v>
      </c>
      <c r="L169" s="12">
        <v>-177307.96</v>
      </c>
    </row>
    <row r="170" spans="1:12" ht="16.5" customHeight="1">
      <c r="A170" s="9" t="s">
        <v>167</v>
      </c>
      <c r="B170" s="9" t="s">
        <v>151</v>
      </c>
      <c r="C170" s="9" t="s">
        <v>147</v>
      </c>
      <c r="D170" s="9" t="s">
        <v>144</v>
      </c>
      <c r="E170" s="9" t="s">
        <v>59</v>
      </c>
      <c r="F170" s="9" t="s">
        <v>60</v>
      </c>
      <c r="G170" s="10">
        <v>7525</v>
      </c>
      <c r="H170" s="11">
        <v>105.0433</v>
      </c>
      <c r="I170" s="12">
        <v>790300.33</v>
      </c>
      <c r="J170" s="12">
        <v>134.20436000000001</v>
      </c>
      <c r="K170" s="12">
        <v>1009887.81</v>
      </c>
      <c r="L170" s="12">
        <v>-219587.48</v>
      </c>
    </row>
    <row r="171" spans="1:12" ht="16.5" customHeight="1">
      <c r="A171" s="9" t="s">
        <v>167</v>
      </c>
      <c r="B171" s="9" t="s">
        <v>151</v>
      </c>
      <c r="C171" s="9" t="s">
        <v>147</v>
      </c>
      <c r="D171" s="9" t="s">
        <v>144</v>
      </c>
      <c r="E171" s="9" t="s">
        <v>99</v>
      </c>
      <c r="F171" s="9" t="s">
        <v>100</v>
      </c>
      <c r="G171" s="10">
        <v>15087</v>
      </c>
      <c r="H171" s="11">
        <v>43.913699999999999</v>
      </c>
      <c r="I171" s="12">
        <v>662224.25</v>
      </c>
      <c r="J171" s="12">
        <v>67.460939999999994</v>
      </c>
      <c r="K171" s="12">
        <v>1017783.22</v>
      </c>
      <c r="L171" s="12">
        <v>-355558.97</v>
      </c>
    </row>
    <row r="172" spans="1:12" ht="16.5" customHeight="1">
      <c r="A172" s="9" t="s">
        <v>167</v>
      </c>
      <c r="B172" s="9" t="s">
        <v>151</v>
      </c>
      <c r="C172" s="9" t="s">
        <v>147</v>
      </c>
      <c r="D172" s="9" t="s">
        <v>144</v>
      </c>
      <c r="E172" s="9" t="s">
        <v>65</v>
      </c>
      <c r="F172" s="9" t="s">
        <v>66</v>
      </c>
      <c r="G172" s="10">
        <v>16029</v>
      </c>
      <c r="H172" s="11">
        <v>51.084699999999998</v>
      </c>
      <c r="I172" s="12">
        <v>818516.08</v>
      </c>
      <c r="J172" s="12">
        <v>63.491219999999998</v>
      </c>
      <c r="K172" s="12">
        <v>1017700.84</v>
      </c>
      <c r="L172" s="12">
        <v>-199184.76</v>
      </c>
    </row>
    <row r="173" spans="1:12" ht="16.5" customHeight="1">
      <c r="A173" s="9" t="s">
        <v>167</v>
      </c>
      <c r="B173" s="9" t="s">
        <v>152</v>
      </c>
      <c r="C173" s="9" t="s">
        <v>147</v>
      </c>
      <c r="D173" s="9" t="s">
        <v>144</v>
      </c>
      <c r="E173" s="9" t="s">
        <v>81</v>
      </c>
      <c r="F173" s="9" t="s">
        <v>82</v>
      </c>
      <c r="G173" s="10">
        <v>6341</v>
      </c>
      <c r="H173" s="11">
        <v>111.1991</v>
      </c>
      <c r="I173" s="12">
        <v>704954.96</v>
      </c>
      <c r="J173" s="12">
        <v>158.72658999999999</v>
      </c>
      <c r="K173" s="12">
        <v>1006485.28</v>
      </c>
      <c r="L173" s="12">
        <v>-301530.32</v>
      </c>
    </row>
    <row r="174" spans="1:12" ht="16.5" customHeight="1">
      <c r="A174" s="9" t="s">
        <v>167</v>
      </c>
      <c r="B174" s="9" t="s">
        <v>152</v>
      </c>
      <c r="C174" s="9" t="s">
        <v>147</v>
      </c>
      <c r="D174" s="9" t="s">
        <v>144</v>
      </c>
      <c r="E174" s="9" t="s">
        <v>99</v>
      </c>
      <c r="F174" s="9" t="s">
        <v>100</v>
      </c>
      <c r="G174" s="10">
        <v>15089</v>
      </c>
      <c r="H174" s="11">
        <v>43.735799999999998</v>
      </c>
      <c r="I174" s="12">
        <v>659552.26</v>
      </c>
      <c r="J174" s="12">
        <v>67.461609999999993</v>
      </c>
      <c r="K174" s="12">
        <v>1017928.26</v>
      </c>
      <c r="L174" s="12">
        <v>-358376</v>
      </c>
    </row>
    <row r="175" spans="1:12" ht="16.5" customHeight="1">
      <c r="A175" s="9" t="s">
        <v>167</v>
      </c>
      <c r="B175" s="9" t="s">
        <v>152</v>
      </c>
      <c r="C175" s="9" t="s">
        <v>147</v>
      </c>
      <c r="D175" s="9" t="s">
        <v>144</v>
      </c>
      <c r="E175" s="9" t="s">
        <v>65</v>
      </c>
      <c r="F175" s="9" t="s">
        <v>66</v>
      </c>
      <c r="G175" s="10">
        <v>15561</v>
      </c>
      <c r="H175" s="11">
        <v>50.9739</v>
      </c>
      <c r="I175" s="12">
        <v>792815.83</v>
      </c>
      <c r="J175" s="12">
        <v>63.489939999999997</v>
      </c>
      <c r="K175" s="12">
        <v>987966.98</v>
      </c>
      <c r="L175" s="12">
        <v>-195151.15</v>
      </c>
    </row>
    <row r="176" spans="1:12" ht="16.5" customHeight="1">
      <c r="A176" s="9" t="s">
        <v>168</v>
      </c>
      <c r="B176" s="9" t="s">
        <v>146</v>
      </c>
      <c r="C176" s="9" t="s">
        <v>143</v>
      </c>
      <c r="D176" s="9" t="s">
        <v>144</v>
      </c>
      <c r="E176" s="9" t="s">
        <v>21</v>
      </c>
      <c r="F176" s="9" t="s">
        <v>22</v>
      </c>
      <c r="G176" s="10">
        <v>35185</v>
      </c>
      <c r="H176" s="11">
        <v>713.83810000000005</v>
      </c>
      <c r="I176" s="12">
        <v>25117097.25</v>
      </c>
      <c r="J176" s="12">
        <v>0</v>
      </c>
      <c r="K176" s="12">
        <v>0</v>
      </c>
      <c r="L176" s="12">
        <v>0</v>
      </c>
    </row>
    <row r="177" spans="1:12" ht="16.5" customHeight="1">
      <c r="A177" s="9" t="s">
        <v>168</v>
      </c>
      <c r="B177" s="9" t="s">
        <v>146</v>
      </c>
      <c r="C177" s="9" t="s">
        <v>147</v>
      </c>
      <c r="D177" s="9" t="s">
        <v>144</v>
      </c>
      <c r="E177" s="9" t="s">
        <v>95</v>
      </c>
      <c r="F177" s="9" t="s">
        <v>96</v>
      </c>
      <c r="G177" s="10">
        <v>28071</v>
      </c>
      <c r="H177" s="11">
        <v>1008.4164</v>
      </c>
      <c r="I177" s="12">
        <v>28306695.34</v>
      </c>
      <c r="J177" s="12">
        <v>888.97406999999998</v>
      </c>
      <c r="K177" s="12">
        <v>24954391.039999999</v>
      </c>
      <c r="L177" s="12">
        <v>3352304.3</v>
      </c>
    </row>
    <row r="178" spans="1:12" ht="16.5" customHeight="1">
      <c r="A178" s="9" t="s">
        <v>168</v>
      </c>
      <c r="B178" s="9" t="s">
        <v>154</v>
      </c>
      <c r="C178" s="9" t="s">
        <v>143</v>
      </c>
      <c r="D178" s="9" t="s">
        <v>144</v>
      </c>
      <c r="E178" s="9" t="s">
        <v>23</v>
      </c>
      <c r="F178" s="9" t="s">
        <v>24</v>
      </c>
      <c r="G178" s="10">
        <v>53045</v>
      </c>
      <c r="H178" s="11">
        <v>281.07499999999999</v>
      </c>
      <c r="I178" s="12">
        <v>14911214.73</v>
      </c>
      <c r="J178" s="12">
        <v>0</v>
      </c>
      <c r="K178" s="12">
        <v>0</v>
      </c>
      <c r="L178" s="12">
        <v>0</v>
      </c>
    </row>
    <row r="179" spans="1:12" ht="16.5" customHeight="1">
      <c r="A179" s="9" t="s">
        <v>168</v>
      </c>
      <c r="B179" s="9" t="s">
        <v>154</v>
      </c>
      <c r="C179" s="9" t="s">
        <v>147</v>
      </c>
      <c r="D179" s="9" t="s">
        <v>144</v>
      </c>
      <c r="E179" s="9" t="s">
        <v>61</v>
      </c>
      <c r="F179" s="9" t="s">
        <v>62</v>
      </c>
      <c r="G179" s="10">
        <v>277015</v>
      </c>
      <c r="H179" s="11">
        <v>59.181699999999999</v>
      </c>
      <c r="I179" s="12">
        <v>16385908.18</v>
      </c>
      <c r="J179" s="12">
        <v>54.574979999999996</v>
      </c>
      <c r="K179" s="12">
        <v>15118088.18</v>
      </c>
      <c r="L179" s="12">
        <v>1267820</v>
      </c>
    </row>
    <row r="180" spans="1:12" ht="16.5" customHeight="1">
      <c r="A180" s="9" t="s">
        <v>169</v>
      </c>
      <c r="B180" s="9" t="s">
        <v>161</v>
      </c>
      <c r="C180" s="9" t="s">
        <v>143</v>
      </c>
      <c r="D180" s="9" t="s">
        <v>144</v>
      </c>
      <c r="E180" s="9" t="s">
        <v>33</v>
      </c>
      <c r="F180" s="9" t="s">
        <v>34</v>
      </c>
      <c r="G180" s="10">
        <v>19492</v>
      </c>
      <c r="H180" s="11">
        <v>442.2208</v>
      </c>
      <c r="I180" s="12">
        <v>8620157.6699999999</v>
      </c>
      <c r="J180" s="12">
        <v>0</v>
      </c>
      <c r="K180" s="12">
        <v>0</v>
      </c>
      <c r="L180" s="12">
        <v>0</v>
      </c>
    </row>
    <row r="181" spans="1:12" ht="16.5" customHeight="1">
      <c r="A181" s="9" t="s">
        <v>169</v>
      </c>
      <c r="B181" s="9" t="s">
        <v>161</v>
      </c>
      <c r="C181" s="9" t="s">
        <v>147</v>
      </c>
      <c r="D181" s="9" t="s">
        <v>144</v>
      </c>
      <c r="E181" s="9" t="s">
        <v>15</v>
      </c>
      <c r="F181" s="9" t="s">
        <v>16</v>
      </c>
      <c r="G181" s="10">
        <v>27044</v>
      </c>
      <c r="H181" s="11">
        <v>316.57517000000001</v>
      </c>
      <c r="I181" s="12">
        <v>8560782.9100000001</v>
      </c>
      <c r="J181" s="12">
        <v>334.65233000000001</v>
      </c>
      <c r="K181" s="12">
        <v>9050337.7300000004</v>
      </c>
      <c r="L181" s="12">
        <v>-489554.82</v>
      </c>
    </row>
    <row r="182" spans="1:12" ht="16.5" customHeight="1">
      <c r="A182" s="9" t="s">
        <v>170</v>
      </c>
      <c r="B182" s="9" t="s">
        <v>142</v>
      </c>
      <c r="C182" s="9" t="s">
        <v>143</v>
      </c>
      <c r="D182" s="9" t="s">
        <v>144</v>
      </c>
      <c r="E182" s="9" t="s">
        <v>27</v>
      </c>
      <c r="F182" s="9" t="s">
        <v>28</v>
      </c>
      <c r="G182" s="10">
        <v>14000</v>
      </c>
      <c r="H182" s="11">
        <v>724.98069999999996</v>
      </c>
      <c r="I182" s="12">
        <v>10150009.800000001</v>
      </c>
      <c r="J182" s="12">
        <v>0</v>
      </c>
      <c r="K182" s="12">
        <v>0</v>
      </c>
      <c r="L182" s="12">
        <v>0</v>
      </c>
    </row>
    <row r="183" spans="1:12" ht="16.5" customHeight="1">
      <c r="A183" s="9" t="s">
        <v>170</v>
      </c>
      <c r="B183" s="9" t="s">
        <v>142</v>
      </c>
      <c r="C183" s="9" t="s">
        <v>143</v>
      </c>
      <c r="D183" s="9" t="s">
        <v>144</v>
      </c>
      <c r="E183" s="9" t="s">
        <v>27</v>
      </c>
      <c r="F183" s="9" t="s">
        <v>28</v>
      </c>
      <c r="G183" s="10">
        <v>14315</v>
      </c>
      <c r="H183" s="11">
        <v>726.55546000000004</v>
      </c>
      <c r="I183" s="12">
        <v>10400999.359999999</v>
      </c>
      <c r="J183" s="12">
        <v>0</v>
      </c>
      <c r="K183" s="12">
        <v>0</v>
      </c>
      <c r="L183" s="12">
        <v>0</v>
      </c>
    </row>
    <row r="184" spans="1:12" ht="16.5" customHeight="1">
      <c r="A184" s="9" t="s">
        <v>170</v>
      </c>
      <c r="B184" s="9" t="s">
        <v>142</v>
      </c>
      <c r="C184" s="9" t="s">
        <v>147</v>
      </c>
      <c r="D184" s="9" t="s">
        <v>144</v>
      </c>
      <c r="E184" s="9" t="s">
        <v>105</v>
      </c>
      <c r="F184" s="9" t="s">
        <v>106</v>
      </c>
      <c r="G184" s="10">
        <v>24000</v>
      </c>
      <c r="H184" s="11">
        <v>410.84649999999999</v>
      </c>
      <c r="I184" s="12">
        <v>9859836</v>
      </c>
      <c r="J184" s="12">
        <v>413.18400000000003</v>
      </c>
      <c r="K184" s="12">
        <v>9916416</v>
      </c>
      <c r="L184" s="12">
        <v>-56580</v>
      </c>
    </row>
    <row r="185" spans="1:12" ht="16.5" customHeight="1">
      <c r="A185" s="9" t="s">
        <v>170</v>
      </c>
      <c r="B185" s="9" t="s">
        <v>142</v>
      </c>
      <c r="C185" s="9" t="s">
        <v>147</v>
      </c>
      <c r="D185" s="9" t="s">
        <v>144</v>
      </c>
      <c r="E185" s="9" t="s">
        <v>105</v>
      </c>
      <c r="F185" s="9" t="s">
        <v>106</v>
      </c>
      <c r="G185" s="10">
        <v>24649</v>
      </c>
      <c r="H185" s="11">
        <v>410.17489999999998</v>
      </c>
      <c r="I185" s="12">
        <v>10109661.640000001</v>
      </c>
      <c r="J185" s="12">
        <v>413.18400000000003</v>
      </c>
      <c r="K185" s="12">
        <v>10184572.42</v>
      </c>
      <c r="L185" s="12">
        <v>-74910.78</v>
      </c>
    </row>
    <row r="186" spans="1:12" ht="16.5" customHeight="1">
      <c r="A186" s="9" t="s">
        <v>171</v>
      </c>
      <c r="B186" s="9" t="s">
        <v>161</v>
      </c>
      <c r="C186" s="9" t="s">
        <v>143</v>
      </c>
      <c r="D186" s="9" t="s">
        <v>144</v>
      </c>
      <c r="E186" s="9" t="s">
        <v>75</v>
      </c>
      <c r="F186" s="9" t="s">
        <v>76</v>
      </c>
      <c r="G186" s="10">
        <v>6431</v>
      </c>
      <c r="H186" s="11">
        <v>1391.95163</v>
      </c>
      <c r="I186" s="12">
        <v>8951801.7400000002</v>
      </c>
      <c r="J186" s="12">
        <v>0</v>
      </c>
      <c r="K186" s="12">
        <v>0</v>
      </c>
      <c r="L186" s="12">
        <v>0</v>
      </c>
    </row>
    <row r="187" spans="1:12" ht="16.5" customHeight="1">
      <c r="A187" s="9" t="s">
        <v>171</v>
      </c>
      <c r="B187" s="9" t="s">
        <v>161</v>
      </c>
      <c r="C187" s="9" t="s">
        <v>147</v>
      </c>
      <c r="D187" s="9" t="s">
        <v>144</v>
      </c>
      <c r="E187" s="9" t="s">
        <v>97</v>
      </c>
      <c r="F187" s="9" t="s">
        <v>98</v>
      </c>
      <c r="G187" s="10">
        <v>69461</v>
      </c>
      <c r="H187" s="11">
        <v>102.7144</v>
      </c>
      <c r="I187" s="12">
        <v>7133255.7199999997</v>
      </c>
      <c r="J187" s="12">
        <v>129.47620000000001</v>
      </c>
      <c r="K187" s="12">
        <v>8993546.3300000001</v>
      </c>
      <c r="L187" s="12">
        <v>-1860290.61</v>
      </c>
    </row>
    <row r="188" spans="1:12" ht="16.5" customHeight="1">
      <c r="A188" s="9" t="s">
        <v>172</v>
      </c>
      <c r="B188" s="9" t="s">
        <v>142</v>
      </c>
      <c r="C188" s="9" t="s">
        <v>143</v>
      </c>
      <c r="D188" s="9" t="s">
        <v>144</v>
      </c>
      <c r="E188" s="9" t="s">
        <v>17</v>
      </c>
      <c r="F188" s="9" t="s">
        <v>18</v>
      </c>
      <c r="G188" s="10">
        <v>15464</v>
      </c>
      <c r="H188" s="11">
        <v>400.67039999999997</v>
      </c>
      <c r="I188" s="12">
        <v>6196430.9900000002</v>
      </c>
      <c r="J188" s="12">
        <v>0</v>
      </c>
      <c r="K188" s="12">
        <v>0</v>
      </c>
      <c r="L188" s="12">
        <v>0</v>
      </c>
    </row>
    <row r="189" spans="1:12" ht="16.5" customHeight="1">
      <c r="A189" s="9" t="s">
        <v>172</v>
      </c>
      <c r="B189" s="9" t="s">
        <v>142</v>
      </c>
      <c r="C189" s="9" t="s">
        <v>143</v>
      </c>
      <c r="D189" s="9" t="s">
        <v>144</v>
      </c>
      <c r="E189" s="9" t="s">
        <v>27</v>
      </c>
      <c r="F189" s="9" t="s">
        <v>28</v>
      </c>
      <c r="G189" s="10">
        <v>8711</v>
      </c>
      <c r="H189" s="11">
        <v>708.25940000000003</v>
      </c>
      <c r="I189" s="12">
        <v>6169821.8499999996</v>
      </c>
      <c r="J189" s="12">
        <v>0</v>
      </c>
      <c r="K189" s="12">
        <v>0</v>
      </c>
      <c r="L189" s="12">
        <v>0</v>
      </c>
    </row>
    <row r="190" spans="1:12" ht="16.5" customHeight="1">
      <c r="A190" s="9" t="s">
        <v>172</v>
      </c>
      <c r="B190" s="9" t="s">
        <v>142</v>
      </c>
      <c r="C190" s="9" t="s">
        <v>143</v>
      </c>
      <c r="D190" s="9" t="s">
        <v>144</v>
      </c>
      <c r="E190" s="9" t="s">
        <v>41</v>
      </c>
      <c r="F190" s="9" t="s">
        <v>42</v>
      </c>
      <c r="G190" s="10">
        <v>9947</v>
      </c>
      <c r="H190" s="11">
        <v>618.83000000000004</v>
      </c>
      <c r="I190" s="12">
        <v>6155750.6900000004</v>
      </c>
      <c r="J190" s="12">
        <v>0</v>
      </c>
      <c r="K190" s="12">
        <v>0</v>
      </c>
      <c r="L190" s="12">
        <v>0</v>
      </c>
    </row>
    <row r="191" spans="1:12" ht="16.5" customHeight="1">
      <c r="A191" s="9" t="s">
        <v>172</v>
      </c>
      <c r="B191" s="9" t="s">
        <v>142</v>
      </c>
      <c r="C191" s="9" t="s">
        <v>143</v>
      </c>
      <c r="D191" s="9" t="s">
        <v>144</v>
      </c>
      <c r="E191" s="9" t="s">
        <v>49</v>
      </c>
      <c r="F191" s="9" t="s">
        <v>50</v>
      </c>
      <c r="G191" s="10">
        <v>21950</v>
      </c>
      <c r="H191" s="11">
        <v>276.42180000000002</v>
      </c>
      <c r="I191" s="12">
        <v>6068007.2599999998</v>
      </c>
      <c r="J191" s="12">
        <v>0</v>
      </c>
      <c r="K191" s="12">
        <v>0</v>
      </c>
      <c r="L191" s="12">
        <v>0</v>
      </c>
    </row>
    <row r="192" spans="1:12" ht="16.5" customHeight="1">
      <c r="A192" s="9" t="s">
        <v>172</v>
      </c>
      <c r="B192" s="9" t="s">
        <v>155</v>
      </c>
      <c r="C192" s="9" t="s">
        <v>147</v>
      </c>
      <c r="D192" s="9" t="s">
        <v>144</v>
      </c>
      <c r="E192" s="9" t="s">
        <v>79</v>
      </c>
      <c r="F192" s="9" t="s">
        <v>80</v>
      </c>
      <c r="G192" s="10">
        <v>42746</v>
      </c>
      <c r="H192" s="11">
        <v>231.5188</v>
      </c>
      <c r="I192" s="12">
        <v>9895220.2400000002</v>
      </c>
      <c r="J192" s="12">
        <v>278.24372</v>
      </c>
      <c r="K192" s="12">
        <v>11893806.060000001</v>
      </c>
      <c r="L192" s="12">
        <v>-1998585.82</v>
      </c>
    </row>
    <row r="193" spans="1:12" ht="16.5" customHeight="1">
      <c r="A193" s="9" t="s">
        <v>172</v>
      </c>
      <c r="B193" s="9" t="s">
        <v>155</v>
      </c>
      <c r="C193" s="9" t="s">
        <v>147</v>
      </c>
      <c r="D193" s="9" t="s">
        <v>144</v>
      </c>
      <c r="E193" s="9" t="s">
        <v>9</v>
      </c>
      <c r="F193" s="9" t="s">
        <v>10</v>
      </c>
      <c r="G193" s="10">
        <v>51563</v>
      </c>
      <c r="H193" s="11">
        <v>201.4025</v>
      </c>
      <c r="I193" s="12">
        <v>10383885.85</v>
      </c>
      <c r="J193" s="12">
        <v>234.91067000000001</v>
      </c>
      <c r="K193" s="12">
        <v>12112698.66</v>
      </c>
      <c r="L193" s="12">
        <v>-1728812.81</v>
      </c>
    </row>
    <row r="194" spans="1:12" ht="16.5" customHeight="1">
      <c r="A194" s="9" t="s">
        <v>172</v>
      </c>
      <c r="B194" s="9" t="s">
        <v>155</v>
      </c>
      <c r="C194" s="9" t="s">
        <v>147</v>
      </c>
      <c r="D194" s="9" t="s">
        <v>144</v>
      </c>
      <c r="E194" s="9" t="s">
        <v>73</v>
      </c>
      <c r="F194" s="9" t="s">
        <v>74</v>
      </c>
      <c r="G194" s="10">
        <v>84437</v>
      </c>
      <c r="H194" s="11">
        <v>121.69802</v>
      </c>
      <c r="I194" s="12">
        <v>10273704.869999999</v>
      </c>
      <c r="J194" s="12">
        <v>141.94055</v>
      </c>
      <c r="K194" s="12">
        <v>11985034.220000001</v>
      </c>
      <c r="L194" s="12">
        <v>-1711329.35</v>
      </c>
    </row>
    <row r="195" spans="1:12" ht="16.5" customHeight="1">
      <c r="A195" s="9" t="s">
        <v>172</v>
      </c>
      <c r="B195" s="9" t="s">
        <v>155</v>
      </c>
      <c r="C195" s="9" t="s">
        <v>147</v>
      </c>
      <c r="D195" s="9" t="s">
        <v>144</v>
      </c>
      <c r="E195" s="9" t="s">
        <v>7</v>
      </c>
      <c r="F195" s="9" t="s">
        <v>8</v>
      </c>
      <c r="G195" s="10">
        <v>37353</v>
      </c>
      <c r="H195" s="11">
        <v>276.47379000000001</v>
      </c>
      <c r="I195" s="12">
        <v>10326191.65</v>
      </c>
      <c r="J195" s="12">
        <v>315.99216000000001</v>
      </c>
      <c r="K195" s="12">
        <v>11803255.07</v>
      </c>
      <c r="L195" s="12">
        <v>-1477063.42</v>
      </c>
    </row>
    <row r="196" spans="1:12" ht="16.5" customHeight="1">
      <c r="A196" s="9" t="s">
        <v>172</v>
      </c>
      <c r="B196" s="9" t="s">
        <v>155</v>
      </c>
      <c r="C196" s="9" t="s">
        <v>147</v>
      </c>
      <c r="D196" s="9" t="s">
        <v>144</v>
      </c>
      <c r="E196" s="9" t="s">
        <v>35</v>
      </c>
      <c r="F196" s="9" t="s">
        <v>36</v>
      </c>
      <c r="G196" s="10">
        <v>25761</v>
      </c>
      <c r="H196" s="11">
        <v>358.76490000000001</v>
      </c>
      <c r="I196" s="12">
        <v>9241498.5600000005</v>
      </c>
      <c r="J196" s="12">
        <v>469.20726999999999</v>
      </c>
      <c r="K196" s="12">
        <v>12087248.49</v>
      </c>
      <c r="L196" s="12">
        <v>-2845749.93</v>
      </c>
    </row>
    <row r="197" spans="1:12" ht="16.5" customHeight="1">
      <c r="A197" s="9" t="s">
        <v>173</v>
      </c>
      <c r="B197" s="9" t="s">
        <v>149</v>
      </c>
      <c r="C197" s="9" t="s">
        <v>143</v>
      </c>
      <c r="D197" s="9" t="s">
        <v>144</v>
      </c>
      <c r="E197" s="9" t="s">
        <v>25</v>
      </c>
      <c r="F197" s="9" t="s">
        <v>26</v>
      </c>
      <c r="G197" s="10">
        <v>143697</v>
      </c>
      <c r="H197" s="11">
        <v>158.18254999999999</v>
      </c>
      <c r="I197" s="12">
        <v>22733949.739999998</v>
      </c>
      <c r="J197" s="12">
        <v>0</v>
      </c>
      <c r="K197" s="12">
        <v>0</v>
      </c>
      <c r="L197" s="12">
        <v>0</v>
      </c>
    </row>
    <row r="198" spans="1:12" ht="16.5" customHeight="1">
      <c r="A198" s="9" t="s">
        <v>173</v>
      </c>
      <c r="B198" s="9" t="s">
        <v>149</v>
      </c>
      <c r="C198" s="9" t="s">
        <v>147</v>
      </c>
      <c r="D198" s="9" t="s">
        <v>144</v>
      </c>
      <c r="E198" s="9" t="s">
        <v>83</v>
      </c>
      <c r="F198" s="9" t="s">
        <v>84</v>
      </c>
      <c r="G198" s="10">
        <v>38962</v>
      </c>
      <c r="H198" s="11">
        <v>494.02140000000003</v>
      </c>
      <c r="I198" s="12">
        <v>19247087.739999998</v>
      </c>
      <c r="J198" s="12">
        <v>562.05062999999996</v>
      </c>
      <c r="K198" s="12">
        <v>21898616.699999999</v>
      </c>
      <c r="L198" s="12">
        <v>-2651528.96</v>
      </c>
    </row>
    <row r="199" spans="1:12" ht="16.5" customHeight="1">
      <c r="A199" s="9" t="s">
        <v>173</v>
      </c>
      <c r="B199" s="9" t="s">
        <v>154</v>
      </c>
      <c r="C199" s="9" t="s">
        <v>143</v>
      </c>
      <c r="D199" s="9" t="s">
        <v>144</v>
      </c>
      <c r="E199" s="9" t="s">
        <v>27</v>
      </c>
      <c r="F199" s="9" t="s">
        <v>28</v>
      </c>
      <c r="G199" s="10">
        <v>866</v>
      </c>
      <c r="H199" s="11">
        <v>736.03459999999995</v>
      </c>
      <c r="I199" s="12">
        <v>637427.61</v>
      </c>
      <c r="J199" s="12">
        <v>0</v>
      </c>
      <c r="K199" s="12">
        <v>0</v>
      </c>
      <c r="L199" s="12">
        <v>0</v>
      </c>
    </row>
    <row r="200" spans="1:12" ht="16.5" customHeight="1">
      <c r="A200" s="9" t="s">
        <v>173</v>
      </c>
      <c r="B200" s="9" t="s">
        <v>154</v>
      </c>
      <c r="C200" s="9" t="s">
        <v>147</v>
      </c>
      <c r="D200" s="9" t="s">
        <v>144</v>
      </c>
      <c r="E200" s="9" t="s">
        <v>91</v>
      </c>
      <c r="F200" s="9" t="s">
        <v>92</v>
      </c>
      <c r="G200" s="10">
        <v>58117</v>
      </c>
      <c r="H200" s="11">
        <v>238.43190000000001</v>
      </c>
      <c r="I200" s="12">
        <v>13855493.800000001</v>
      </c>
      <c r="J200" s="12">
        <v>257.51348000000002</v>
      </c>
      <c r="K200" s="12">
        <v>14965910.970000001</v>
      </c>
      <c r="L200" s="12">
        <v>-1110417.17</v>
      </c>
    </row>
    <row r="201" spans="1:12" ht="16.5" customHeight="1">
      <c r="A201" s="9" t="s">
        <v>173</v>
      </c>
      <c r="B201" s="9" t="s">
        <v>150</v>
      </c>
      <c r="C201" s="9" t="s">
        <v>143</v>
      </c>
      <c r="D201" s="9" t="s">
        <v>144</v>
      </c>
      <c r="E201" s="9" t="s">
        <v>63</v>
      </c>
      <c r="F201" s="9" t="s">
        <v>64</v>
      </c>
      <c r="G201" s="10">
        <v>83960</v>
      </c>
      <c r="H201" s="11">
        <v>247.65389999999999</v>
      </c>
      <c r="I201" s="12">
        <v>20794700.640000001</v>
      </c>
      <c r="J201" s="12">
        <v>0</v>
      </c>
      <c r="K201" s="12">
        <v>0</v>
      </c>
      <c r="L201" s="12">
        <v>0</v>
      </c>
    </row>
    <row r="202" spans="1:12" ht="16.5" customHeight="1">
      <c r="A202" s="9" t="s">
        <v>173</v>
      </c>
      <c r="B202" s="9" t="s">
        <v>150</v>
      </c>
      <c r="C202" s="9" t="s">
        <v>147</v>
      </c>
      <c r="D202" s="9" t="s">
        <v>144</v>
      </c>
      <c r="E202" s="9" t="s">
        <v>93</v>
      </c>
      <c r="F202" s="9" t="s">
        <v>94</v>
      </c>
      <c r="G202" s="10">
        <v>102543</v>
      </c>
      <c r="H202" s="11">
        <v>222.3398</v>
      </c>
      <c r="I202" s="12">
        <v>22796313.82</v>
      </c>
      <c r="J202" s="12">
        <v>195.52420000000001</v>
      </c>
      <c r="K202" s="12">
        <v>20049638.280000001</v>
      </c>
      <c r="L202" s="12">
        <v>2746675.54</v>
      </c>
    </row>
    <row r="203" spans="1:12" ht="16.5" customHeight="1">
      <c r="A203" s="9" t="s">
        <v>174</v>
      </c>
      <c r="B203" s="9" t="s">
        <v>154</v>
      </c>
      <c r="C203" s="9" t="s">
        <v>143</v>
      </c>
      <c r="D203" s="9" t="s">
        <v>144</v>
      </c>
      <c r="E203" s="9" t="s">
        <v>27</v>
      </c>
      <c r="F203" s="9" t="s">
        <v>28</v>
      </c>
      <c r="G203" s="10">
        <v>10478</v>
      </c>
      <c r="H203" s="11">
        <v>797.18029999999999</v>
      </c>
      <c r="I203" s="12">
        <v>8353064.7400000002</v>
      </c>
      <c r="J203" s="12">
        <v>0</v>
      </c>
      <c r="K203" s="12">
        <v>0</v>
      </c>
      <c r="L203" s="12">
        <v>0</v>
      </c>
    </row>
    <row r="204" spans="1:12" ht="16.5" customHeight="1">
      <c r="A204" s="9" t="s">
        <v>174</v>
      </c>
      <c r="B204" s="9" t="s">
        <v>154</v>
      </c>
      <c r="C204" s="9" t="s">
        <v>143</v>
      </c>
      <c r="D204" s="9" t="s">
        <v>144</v>
      </c>
      <c r="E204" s="9" t="s">
        <v>27</v>
      </c>
      <c r="F204" s="9" t="s">
        <v>28</v>
      </c>
      <c r="G204" s="10">
        <v>8760</v>
      </c>
      <c r="H204" s="11">
        <v>797.09910000000002</v>
      </c>
      <c r="I204" s="12">
        <v>6982807.1200000001</v>
      </c>
      <c r="J204" s="12">
        <v>0</v>
      </c>
      <c r="K204" s="12">
        <v>0</v>
      </c>
      <c r="L204" s="12">
        <v>0</v>
      </c>
    </row>
    <row r="205" spans="1:12" ht="16.5" customHeight="1">
      <c r="A205" s="9" t="s">
        <v>175</v>
      </c>
      <c r="B205" s="9" t="s">
        <v>150</v>
      </c>
      <c r="C205" s="9" t="s">
        <v>143</v>
      </c>
      <c r="D205" s="9" t="s">
        <v>144</v>
      </c>
      <c r="E205" s="9" t="s">
        <v>29</v>
      </c>
      <c r="F205" s="9" t="s">
        <v>30</v>
      </c>
      <c r="G205" s="10">
        <v>149443</v>
      </c>
      <c r="H205" s="11">
        <v>134.5095</v>
      </c>
      <c r="I205" s="12">
        <v>20105986.5</v>
      </c>
      <c r="J205" s="12">
        <v>0</v>
      </c>
      <c r="K205" s="12">
        <v>0</v>
      </c>
      <c r="L205" s="12">
        <v>0</v>
      </c>
    </row>
    <row r="206" spans="1:12" ht="16.5" customHeight="1">
      <c r="A206" s="9" t="s">
        <v>175</v>
      </c>
      <c r="B206" s="9" t="s">
        <v>150</v>
      </c>
      <c r="C206" s="9" t="s">
        <v>147</v>
      </c>
      <c r="D206" s="9" t="s">
        <v>144</v>
      </c>
      <c r="E206" s="9" t="s">
        <v>33</v>
      </c>
      <c r="F206" s="9" t="s">
        <v>34</v>
      </c>
      <c r="G206" s="10">
        <v>51399</v>
      </c>
      <c r="H206" s="11">
        <v>451.36590000000001</v>
      </c>
      <c r="I206" s="12">
        <v>23197992.989999998</v>
      </c>
      <c r="J206" s="12">
        <v>405.80387000000002</v>
      </c>
      <c r="K206" s="12">
        <v>20857913.300000001</v>
      </c>
      <c r="L206" s="12">
        <v>2340079.69</v>
      </c>
    </row>
    <row r="207" spans="1:12" ht="16.5" customHeight="1">
      <c r="A207" s="9" t="s">
        <v>176</v>
      </c>
      <c r="B207" s="9" t="s">
        <v>146</v>
      </c>
      <c r="C207" s="9" t="s">
        <v>147</v>
      </c>
      <c r="D207" s="9" t="s">
        <v>144</v>
      </c>
      <c r="E207" s="9" t="s">
        <v>13</v>
      </c>
      <c r="F207" s="9" t="s">
        <v>14</v>
      </c>
      <c r="G207" s="10">
        <v>16624</v>
      </c>
      <c r="H207" s="11">
        <v>273.63290000000001</v>
      </c>
      <c r="I207" s="12">
        <v>4548364.0199999996</v>
      </c>
      <c r="J207" s="12">
        <v>270.53944999999999</v>
      </c>
      <c r="K207" s="12">
        <v>4497447.78</v>
      </c>
      <c r="L207" s="12">
        <v>50916.24</v>
      </c>
    </row>
    <row r="208" spans="1:12" ht="16.5" customHeight="1">
      <c r="A208" s="9" t="s">
        <v>176</v>
      </c>
      <c r="B208" s="9" t="s">
        <v>146</v>
      </c>
      <c r="C208" s="9" t="s">
        <v>147</v>
      </c>
      <c r="D208" s="9" t="s">
        <v>144</v>
      </c>
      <c r="E208" s="9" t="s">
        <v>9</v>
      </c>
      <c r="F208" s="9" t="s">
        <v>10</v>
      </c>
      <c r="G208" s="10">
        <v>19649</v>
      </c>
      <c r="H208" s="11">
        <v>255.97069999999999</v>
      </c>
      <c r="I208" s="12">
        <v>5029071.6900000004</v>
      </c>
      <c r="J208" s="12">
        <v>233.09466</v>
      </c>
      <c r="K208" s="12">
        <v>4580076.91</v>
      </c>
      <c r="L208" s="12">
        <v>448994.78</v>
      </c>
    </row>
    <row r="209" spans="1:12" ht="16.5" customHeight="1">
      <c r="A209" s="9" t="s">
        <v>176</v>
      </c>
      <c r="B209" s="9" t="s">
        <v>146</v>
      </c>
      <c r="C209" s="9" t="s">
        <v>147</v>
      </c>
      <c r="D209" s="9" t="s">
        <v>144</v>
      </c>
      <c r="E209" s="9" t="s">
        <v>69</v>
      </c>
      <c r="F209" s="9" t="s">
        <v>70</v>
      </c>
      <c r="G209" s="10">
        <v>32959</v>
      </c>
      <c r="H209" s="11">
        <v>150.58799999999999</v>
      </c>
      <c r="I209" s="12">
        <v>4962468.46</v>
      </c>
      <c r="J209" s="12">
        <v>139.19551999999999</v>
      </c>
      <c r="K209" s="12">
        <v>4587745.05</v>
      </c>
      <c r="L209" s="12">
        <v>374723.41</v>
      </c>
    </row>
    <row r="210" spans="1:12" ht="16.5" customHeight="1">
      <c r="A210" s="9" t="s">
        <v>176</v>
      </c>
      <c r="B210" s="9" t="s">
        <v>146</v>
      </c>
      <c r="C210" s="9" t="s">
        <v>147</v>
      </c>
      <c r="D210" s="9" t="s">
        <v>144</v>
      </c>
      <c r="E210" s="9" t="s">
        <v>15</v>
      </c>
      <c r="F210" s="9" t="s">
        <v>16</v>
      </c>
      <c r="G210" s="10">
        <v>13239</v>
      </c>
      <c r="H210" s="11">
        <v>424.31849999999997</v>
      </c>
      <c r="I210" s="12">
        <v>5617039.7199999997</v>
      </c>
      <c r="J210" s="12">
        <v>343.59741000000002</v>
      </c>
      <c r="K210" s="12">
        <v>4548886.05</v>
      </c>
      <c r="L210" s="12">
        <v>1068153.67</v>
      </c>
    </row>
    <row r="211" spans="1:12" ht="16.5" customHeight="1">
      <c r="A211" s="9" t="s">
        <v>176</v>
      </c>
      <c r="B211" s="9" t="s">
        <v>146</v>
      </c>
      <c r="C211" s="9" t="s">
        <v>147</v>
      </c>
      <c r="D211" s="9" t="s">
        <v>144</v>
      </c>
      <c r="E211" s="9" t="s">
        <v>21</v>
      </c>
      <c r="F211" s="9" t="s">
        <v>22</v>
      </c>
      <c r="G211" s="10">
        <v>6404</v>
      </c>
      <c r="H211" s="11">
        <v>872.9873</v>
      </c>
      <c r="I211" s="12">
        <v>5590303.3799999999</v>
      </c>
      <c r="J211" s="12">
        <v>713.85810000000004</v>
      </c>
      <c r="K211" s="12">
        <v>4571547.2699999996</v>
      </c>
      <c r="L211" s="12">
        <v>1018756.11</v>
      </c>
    </row>
    <row r="212" spans="1:12" ht="16.5" customHeight="1">
      <c r="A212" s="9" t="s">
        <v>176</v>
      </c>
      <c r="B212" s="9" t="s">
        <v>146</v>
      </c>
      <c r="C212" s="9" t="s">
        <v>147</v>
      </c>
      <c r="D212" s="9" t="s">
        <v>144</v>
      </c>
      <c r="E212" s="9" t="s">
        <v>7</v>
      </c>
      <c r="F212" s="9" t="s">
        <v>8</v>
      </c>
      <c r="G212" s="10">
        <v>14381</v>
      </c>
      <c r="H212" s="11">
        <v>339.72800000000001</v>
      </c>
      <c r="I212" s="12">
        <v>4885168.12</v>
      </c>
      <c r="J212" s="12">
        <v>315.99216000000001</v>
      </c>
      <c r="K212" s="12">
        <v>4544283.22</v>
      </c>
      <c r="L212" s="12">
        <v>340884.9</v>
      </c>
    </row>
    <row r="213" spans="1:12" ht="16.5" customHeight="1">
      <c r="A213" s="9" t="s">
        <v>176</v>
      </c>
      <c r="B213" s="9" t="s">
        <v>146</v>
      </c>
      <c r="C213" s="9" t="s">
        <v>147</v>
      </c>
      <c r="D213" s="9" t="s">
        <v>144</v>
      </c>
      <c r="E213" s="9" t="s">
        <v>35</v>
      </c>
      <c r="F213" s="9" t="s">
        <v>36</v>
      </c>
      <c r="G213" s="10">
        <v>9299</v>
      </c>
      <c r="H213" s="11">
        <v>417.3741</v>
      </c>
      <c r="I213" s="12">
        <v>3880849.32</v>
      </c>
      <c r="J213" s="12">
        <v>475.37117999999998</v>
      </c>
      <c r="K213" s="12">
        <v>4420476.59</v>
      </c>
      <c r="L213" s="12">
        <v>-539627.27</v>
      </c>
    </row>
    <row r="214" spans="1:12" ht="16.5" customHeight="1">
      <c r="A214" s="9" t="s">
        <v>176</v>
      </c>
      <c r="B214" s="9" t="s">
        <v>146</v>
      </c>
      <c r="C214" s="9" t="s">
        <v>147</v>
      </c>
      <c r="D214" s="9" t="s">
        <v>144</v>
      </c>
      <c r="E214" s="9" t="s">
        <v>37</v>
      </c>
      <c r="F214" s="9" t="s">
        <v>38</v>
      </c>
      <c r="G214" s="10">
        <v>24460</v>
      </c>
      <c r="H214" s="11">
        <v>200.67619999999999</v>
      </c>
      <c r="I214" s="12">
        <v>4907827.2300000004</v>
      </c>
      <c r="J214" s="12">
        <v>186.67524</v>
      </c>
      <c r="K214" s="12">
        <v>4566076.2699999996</v>
      </c>
      <c r="L214" s="12">
        <v>341750.96</v>
      </c>
    </row>
    <row r="215" spans="1:12" ht="16.5" customHeight="1">
      <c r="A215" s="9" t="s">
        <v>176</v>
      </c>
      <c r="B215" s="9" t="s">
        <v>146</v>
      </c>
      <c r="C215" s="9" t="s">
        <v>147</v>
      </c>
      <c r="D215" s="9" t="s">
        <v>144</v>
      </c>
      <c r="E215" s="9" t="s">
        <v>39</v>
      </c>
      <c r="F215" s="9" t="s">
        <v>40</v>
      </c>
      <c r="G215" s="10">
        <v>10447</v>
      </c>
      <c r="H215" s="11">
        <v>631.47559999999999</v>
      </c>
      <c r="I215" s="12">
        <v>6596628.5099999998</v>
      </c>
      <c r="J215" s="12">
        <v>438.98491999999999</v>
      </c>
      <c r="K215" s="12">
        <v>4586075.5</v>
      </c>
      <c r="L215" s="12">
        <v>2010553.01</v>
      </c>
    </row>
    <row r="216" spans="1:12" ht="16.5" customHeight="1">
      <c r="A216" s="9" t="s">
        <v>176</v>
      </c>
      <c r="B216" s="9" t="s">
        <v>146</v>
      </c>
      <c r="C216" s="9" t="s">
        <v>147</v>
      </c>
      <c r="D216" s="9" t="s">
        <v>144</v>
      </c>
      <c r="E216" s="9" t="s">
        <v>31</v>
      </c>
      <c r="F216" s="9" t="s">
        <v>32</v>
      </c>
      <c r="G216" s="10">
        <v>6671</v>
      </c>
      <c r="H216" s="11">
        <v>662.32641999999998</v>
      </c>
      <c r="I216" s="12">
        <v>4418121.75</v>
      </c>
      <c r="J216" s="12">
        <v>676.35263999999995</v>
      </c>
      <c r="K216" s="12">
        <v>4511948.45</v>
      </c>
      <c r="L216" s="12">
        <v>-93826.7</v>
      </c>
    </row>
    <row r="217" spans="1:12" ht="16.5" customHeight="1">
      <c r="A217" s="9" t="s">
        <v>176</v>
      </c>
      <c r="B217" s="9" t="s">
        <v>177</v>
      </c>
      <c r="C217" s="9" t="s">
        <v>143</v>
      </c>
      <c r="D217" s="9" t="s">
        <v>144</v>
      </c>
      <c r="E217" s="9" t="s">
        <v>57</v>
      </c>
      <c r="F217" s="9" t="s">
        <v>58</v>
      </c>
      <c r="G217" s="10">
        <v>26560</v>
      </c>
      <c r="H217" s="11">
        <v>384.28359999999998</v>
      </c>
      <c r="I217" s="12">
        <v>10207369.220000001</v>
      </c>
      <c r="J217" s="12">
        <v>0</v>
      </c>
      <c r="K217" s="12">
        <v>0</v>
      </c>
      <c r="L217" s="12">
        <v>0</v>
      </c>
    </row>
    <row r="218" spans="1:12" ht="16.5" customHeight="1">
      <c r="A218" s="9" t="s">
        <v>176</v>
      </c>
      <c r="B218" s="9" t="s">
        <v>177</v>
      </c>
      <c r="C218" s="9" t="s">
        <v>143</v>
      </c>
      <c r="D218" s="9" t="s">
        <v>144</v>
      </c>
      <c r="E218" s="9" t="s">
        <v>89</v>
      </c>
      <c r="F218" s="9" t="s">
        <v>90</v>
      </c>
      <c r="G218" s="10">
        <v>8869</v>
      </c>
      <c r="H218" s="11">
        <v>1155.0234</v>
      </c>
      <c r="I218" s="12">
        <v>10244124.26</v>
      </c>
      <c r="J218" s="12">
        <v>0</v>
      </c>
      <c r="K218" s="12">
        <v>0</v>
      </c>
      <c r="L218" s="12">
        <v>0</v>
      </c>
    </row>
    <row r="219" spans="1:12" ht="16.5" customHeight="1">
      <c r="A219" s="9" t="s">
        <v>176</v>
      </c>
      <c r="B219" s="9" t="s">
        <v>177</v>
      </c>
      <c r="C219" s="9" t="s">
        <v>143</v>
      </c>
      <c r="D219" s="9" t="s">
        <v>144</v>
      </c>
      <c r="E219" s="9" t="s">
        <v>101</v>
      </c>
      <c r="F219" s="9" t="s">
        <v>102</v>
      </c>
      <c r="G219" s="10">
        <v>32772</v>
      </c>
      <c r="H219" s="11">
        <v>316.2088</v>
      </c>
      <c r="I219" s="12">
        <v>10363614.09</v>
      </c>
      <c r="J219" s="12">
        <v>0</v>
      </c>
      <c r="K219" s="12">
        <v>0</v>
      </c>
      <c r="L219" s="12">
        <v>0</v>
      </c>
    </row>
    <row r="220" spans="1:12" ht="16.5" customHeight="1">
      <c r="A220" s="9" t="s">
        <v>176</v>
      </c>
      <c r="B220" s="9" t="s">
        <v>177</v>
      </c>
      <c r="C220" s="9" t="s">
        <v>143</v>
      </c>
      <c r="D220" s="9" t="s">
        <v>144</v>
      </c>
      <c r="E220" s="9" t="s">
        <v>55</v>
      </c>
      <c r="F220" s="9" t="s">
        <v>56</v>
      </c>
      <c r="G220" s="10">
        <v>75250</v>
      </c>
      <c r="H220" s="11">
        <v>136.6472</v>
      </c>
      <c r="I220" s="12">
        <v>10284583.050000001</v>
      </c>
      <c r="J220" s="12">
        <v>0</v>
      </c>
      <c r="K220" s="12">
        <v>0</v>
      </c>
      <c r="L220" s="12">
        <v>0</v>
      </c>
    </row>
    <row r="221" spans="1:12" ht="16.5" customHeight="1">
      <c r="A221" s="9" t="s">
        <v>176</v>
      </c>
      <c r="B221" s="9" t="s">
        <v>177</v>
      </c>
      <c r="C221" s="9" t="s">
        <v>143</v>
      </c>
      <c r="D221" s="9" t="s">
        <v>144</v>
      </c>
      <c r="E221" s="9" t="s">
        <v>53</v>
      </c>
      <c r="F221" s="9" t="s">
        <v>54</v>
      </c>
      <c r="G221" s="10">
        <v>71362</v>
      </c>
      <c r="H221" s="11">
        <v>142.5582</v>
      </c>
      <c r="I221" s="12">
        <v>10175022.32</v>
      </c>
      <c r="J221" s="12">
        <v>0</v>
      </c>
      <c r="K221" s="12">
        <v>0</v>
      </c>
      <c r="L221" s="12">
        <v>0</v>
      </c>
    </row>
    <row r="222" spans="1:12" ht="16.5" customHeight="1">
      <c r="A222" s="9" t="s">
        <v>178</v>
      </c>
      <c r="B222" s="9" t="s">
        <v>146</v>
      </c>
      <c r="C222" s="9" t="s">
        <v>143</v>
      </c>
      <c r="D222" s="9" t="s">
        <v>144</v>
      </c>
      <c r="E222" s="9" t="s">
        <v>45</v>
      </c>
      <c r="F222" s="9" t="s">
        <v>46</v>
      </c>
      <c r="G222" s="10">
        <v>6130</v>
      </c>
      <c r="H222" s="11">
        <v>369.9264</v>
      </c>
      <c r="I222" s="12">
        <v>2267832.73</v>
      </c>
      <c r="J222" s="12">
        <v>0</v>
      </c>
      <c r="K222" s="12">
        <v>0</v>
      </c>
      <c r="L222" s="12">
        <v>0</v>
      </c>
    </row>
    <row r="223" spans="1:12" ht="16.5" customHeight="1">
      <c r="A223" s="9" t="s">
        <v>178</v>
      </c>
      <c r="B223" s="9" t="s">
        <v>146</v>
      </c>
      <c r="C223" s="9" t="s">
        <v>143</v>
      </c>
      <c r="D223" s="9" t="s">
        <v>144</v>
      </c>
      <c r="E223" s="9" t="s">
        <v>45</v>
      </c>
      <c r="F223" s="9" t="s">
        <v>46</v>
      </c>
      <c r="G223" s="10">
        <v>9110</v>
      </c>
      <c r="H223" s="11">
        <v>370.13049999999998</v>
      </c>
      <c r="I223" s="12">
        <v>3372116.61</v>
      </c>
      <c r="J223" s="12">
        <v>0</v>
      </c>
      <c r="K223" s="12">
        <v>0</v>
      </c>
      <c r="L223" s="12">
        <v>0</v>
      </c>
    </row>
    <row r="224" spans="1:12" ht="16.5" customHeight="1">
      <c r="A224" s="9" t="s">
        <v>178</v>
      </c>
      <c r="B224" s="9" t="s">
        <v>146</v>
      </c>
      <c r="C224" s="9" t="s">
        <v>147</v>
      </c>
      <c r="D224" s="9" t="s">
        <v>144</v>
      </c>
      <c r="E224" s="9" t="s">
        <v>69</v>
      </c>
      <c r="F224" s="9" t="s">
        <v>70</v>
      </c>
      <c r="G224" s="10">
        <v>48134</v>
      </c>
      <c r="H224" s="11">
        <v>138.52549999999999</v>
      </c>
      <c r="I224" s="12">
        <v>6666686.3799999999</v>
      </c>
      <c r="J224" s="12">
        <v>139.19551999999999</v>
      </c>
      <c r="K224" s="12">
        <v>6700037.0199999996</v>
      </c>
      <c r="L224" s="12">
        <v>-33350.639999999999</v>
      </c>
    </row>
    <row r="225" spans="1:12" ht="16.5" customHeight="1">
      <c r="A225" s="9" t="s">
        <v>178</v>
      </c>
      <c r="B225" s="9" t="s">
        <v>146</v>
      </c>
      <c r="C225" s="9" t="s">
        <v>147</v>
      </c>
      <c r="D225" s="9" t="s">
        <v>144</v>
      </c>
      <c r="E225" s="9" t="s">
        <v>69</v>
      </c>
      <c r="F225" s="9" t="s">
        <v>70</v>
      </c>
      <c r="G225" s="10">
        <v>100000</v>
      </c>
      <c r="H225" s="11">
        <v>138.4853</v>
      </c>
      <c r="I225" s="12">
        <v>13846244.720000001</v>
      </c>
      <c r="J225" s="12">
        <v>139.19551999999999</v>
      </c>
      <c r="K225" s="12">
        <v>13919551.720000001</v>
      </c>
      <c r="L225" s="12">
        <v>-73307</v>
      </c>
    </row>
    <row r="226" spans="1:12" ht="16.5" customHeight="1">
      <c r="A226" s="9" t="s">
        <v>179</v>
      </c>
      <c r="B226" s="9" t="s">
        <v>146</v>
      </c>
      <c r="C226" s="9" t="s">
        <v>143</v>
      </c>
      <c r="D226" s="9" t="s">
        <v>144</v>
      </c>
      <c r="E226" s="9" t="s">
        <v>45</v>
      </c>
      <c r="F226" s="9" t="s">
        <v>46</v>
      </c>
      <c r="G226" s="10">
        <v>40767</v>
      </c>
      <c r="H226" s="11">
        <v>357.19940000000003</v>
      </c>
      <c r="I226" s="12">
        <v>14562967.119999999</v>
      </c>
      <c r="J226" s="12">
        <v>0</v>
      </c>
      <c r="K226" s="12">
        <v>0</v>
      </c>
      <c r="L226" s="12">
        <v>0</v>
      </c>
    </row>
    <row r="227" spans="1:12" ht="16.5" customHeight="1">
      <c r="A227" s="9" t="s">
        <v>180</v>
      </c>
      <c r="B227" s="9" t="s">
        <v>161</v>
      </c>
      <c r="C227" s="9" t="s">
        <v>143</v>
      </c>
      <c r="D227" s="9" t="s">
        <v>144</v>
      </c>
      <c r="E227" s="9" t="s">
        <v>45</v>
      </c>
      <c r="F227" s="9" t="s">
        <v>46</v>
      </c>
      <c r="G227" s="10">
        <v>25016</v>
      </c>
      <c r="H227" s="11">
        <v>362.8836</v>
      </c>
      <c r="I227" s="12">
        <v>9078646.6199999992</v>
      </c>
      <c r="J227" s="12">
        <v>0</v>
      </c>
      <c r="K227" s="12">
        <v>0</v>
      </c>
      <c r="L227" s="12">
        <v>0</v>
      </c>
    </row>
    <row r="228" spans="1:12" ht="16.5" customHeight="1">
      <c r="A228" s="9" t="s">
        <v>180</v>
      </c>
      <c r="B228" s="9" t="s">
        <v>161</v>
      </c>
      <c r="C228" s="9" t="s">
        <v>147</v>
      </c>
      <c r="D228" s="9" t="s">
        <v>144</v>
      </c>
      <c r="E228" s="9" t="s">
        <v>75</v>
      </c>
      <c r="F228" s="9" t="s">
        <v>76</v>
      </c>
      <c r="G228" s="10">
        <v>6431</v>
      </c>
      <c r="H228" s="11">
        <v>1552.1085</v>
      </c>
      <c r="I228" s="12">
        <v>9981243.3499999996</v>
      </c>
      <c r="J228" s="12">
        <v>1391.9766400000001</v>
      </c>
      <c r="K228" s="12">
        <v>8951801.7400000002</v>
      </c>
      <c r="L228" s="12">
        <v>1029441.61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BE265-8F8F-4108-A929-D62E7A0C964C}">
  <dimension ref="A1:T1012"/>
  <sheetViews>
    <sheetView workbookViewId="0">
      <selection activeCell="D11" sqref="D11"/>
    </sheetView>
  </sheetViews>
  <sheetFormatPr defaultRowHeight="15.75"/>
  <cols>
    <col min="1" max="1" width="12.75" style="14" bestFit="1" customWidth="1"/>
    <col min="2" max="2" width="16.375" style="16" customWidth="1"/>
    <col min="3" max="3" width="26.625" style="16" customWidth="1"/>
    <col min="4" max="4" width="11.375" style="17" customWidth="1"/>
    <col min="5" max="5" width="26.625" style="16" bestFit="1" customWidth="1"/>
    <col min="6" max="6" width="13.5" style="13" bestFit="1" customWidth="1"/>
    <col min="7" max="16384" width="9" style="16"/>
  </cols>
  <sheetData>
    <row r="1" spans="1:20">
      <c r="B1" s="19" t="s">
        <v>1252</v>
      </c>
      <c r="C1" s="20">
        <v>8.7099999999999997E-2</v>
      </c>
    </row>
    <row r="2" spans="1:20">
      <c r="B2" s="16" t="s">
        <v>734</v>
      </c>
      <c r="C2" s="16" t="s">
        <v>1247</v>
      </c>
      <c r="D2" s="17" t="s">
        <v>1248</v>
      </c>
      <c r="E2" s="16" t="s">
        <v>1249</v>
      </c>
      <c r="F2" s="13" t="s">
        <v>1250</v>
      </c>
    </row>
    <row r="3" spans="1:20">
      <c r="A3" s="14">
        <v>1</v>
      </c>
      <c r="B3" s="16" t="s">
        <v>227</v>
      </c>
      <c r="C3" s="16" t="s">
        <v>735</v>
      </c>
      <c r="D3" s="17">
        <v>4.5019589311787881E-3</v>
      </c>
      <c r="E3" s="16" t="s">
        <v>736</v>
      </c>
      <c r="F3" s="13">
        <v>9.6602289305896649E-2</v>
      </c>
      <c r="H3" s="18"/>
      <c r="T3" s="18"/>
    </row>
    <row r="4" spans="1:20">
      <c r="A4" s="14">
        <v>2</v>
      </c>
      <c r="B4" s="16" t="s">
        <v>228</v>
      </c>
      <c r="C4" s="16" t="s">
        <v>737</v>
      </c>
      <c r="D4" s="17">
        <v>6.4263347733910898E-4</v>
      </c>
      <c r="E4" s="16" t="s">
        <v>738</v>
      </c>
      <c r="F4" s="13">
        <v>-8.1461606313461554E-2</v>
      </c>
      <c r="H4" s="18"/>
      <c r="T4" s="18"/>
    </row>
    <row r="5" spans="1:20">
      <c r="A5" s="14">
        <v>3</v>
      </c>
      <c r="B5" s="16" t="s">
        <v>229</v>
      </c>
      <c r="C5" s="16" t="s">
        <v>739</v>
      </c>
      <c r="D5" s="17">
        <v>5.0653158800560791E-4</v>
      </c>
      <c r="E5" s="16" t="s">
        <v>740</v>
      </c>
      <c r="F5" s="13">
        <v>-0.11830811432616684</v>
      </c>
      <c r="H5" s="18"/>
      <c r="T5" s="18"/>
    </row>
    <row r="6" spans="1:20">
      <c r="A6" s="14">
        <v>4</v>
      </c>
      <c r="B6" s="16" t="s">
        <v>230</v>
      </c>
      <c r="C6" s="16" t="s">
        <v>741</v>
      </c>
      <c r="D6" s="17">
        <v>2.0647519786930911E-3</v>
      </c>
      <c r="E6" s="16" t="s">
        <v>742</v>
      </c>
      <c r="F6" s="13">
        <v>-0.21417712511321063</v>
      </c>
      <c r="H6" s="18"/>
      <c r="T6" s="18"/>
    </row>
    <row r="7" spans="1:20">
      <c r="A7" s="14">
        <v>5</v>
      </c>
      <c r="B7" s="16" t="s">
        <v>231</v>
      </c>
      <c r="C7" s="16" t="s">
        <v>743</v>
      </c>
      <c r="D7" s="17">
        <v>3.0609830043023867E-4</v>
      </c>
      <c r="E7" s="16" t="s">
        <v>740</v>
      </c>
      <c r="F7" s="13">
        <v>-0.23587165026168344</v>
      </c>
      <c r="H7" s="18"/>
      <c r="T7" s="18"/>
    </row>
    <row r="8" spans="1:20">
      <c r="A8" s="14">
        <v>6</v>
      </c>
      <c r="B8" s="16" t="s">
        <v>232</v>
      </c>
      <c r="C8" s="16" t="s">
        <v>744</v>
      </c>
      <c r="D8" s="17">
        <v>4.7564080294009283E-4</v>
      </c>
      <c r="E8" s="16" t="s">
        <v>745</v>
      </c>
      <c r="F8" s="13">
        <v>9.6433306052773338E-2</v>
      </c>
      <c r="H8" s="18"/>
      <c r="T8" s="18"/>
    </row>
    <row r="9" spans="1:20">
      <c r="A9" s="14">
        <v>7</v>
      </c>
      <c r="B9" s="16" t="s">
        <v>233</v>
      </c>
      <c r="C9" s="16" t="s">
        <v>114</v>
      </c>
      <c r="D9" s="17">
        <v>3.2017379936783723E-3</v>
      </c>
      <c r="E9" s="16" t="s">
        <v>742</v>
      </c>
      <c r="F9" s="13">
        <v>0.41004627306684593</v>
      </c>
      <c r="H9" s="18"/>
      <c r="T9" s="18"/>
    </row>
    <row r="10" spans="1:20">
      <c r="A10" s="14">
        <v>8</v>
      </c>
      <c r="B10" s="16" t="s">
        <v>234</v>
      </c>
      <c r="C10" s="16" t="s">
        <v>746</v>
      </c>
      <c r="D10" s="17">
        <v>4.4536505703421798E-4</v>
      </c>
      <c r="E10" s="16" t="s">
        <v>742</v>
      </c>
      <c r="F10" s="13">
        <v>0.17030668697110607</v>
      </c>
      <c r="H10" s="18"/>
      <c r="T10" s="18"/>
    </row>
    <row r="11" spans="1:20">
      <c r="A11" s="14">
        <v>9</v>
      </c>
      <c r="B11" s="16" t="s">
        <v>235</v>
      </c>
      <c r="C11" s="16" t="s">
        <v>747</v>
      </c>
      <c r="D11" s="17">
        <v>2.3085741399019293E-3</v>
      </c>
      <c r="E11" s="16" t="s">
        <v>736</v>
      </c>
      <c r="F11" s="13">
        <v>6.5402487526402764E-2</v>
      </c>
      <c r="H11" s="18"/>
      <c r="T11" s="18"/>
    </row>
    <row r="12" spans="1:20">
      <c r="A12" s="14">
        <v>10</v>
      </c>
      <c r="B12" s="16" t="s">
        <v>236</v>
      </c>
      <c r="C12" s="16" t="s">
        <v>748</v>
      </c>
      <c r="D12" s="17">
        <v>2.0015997007520635E-4</v>
      </c>
      <c r="E12" s="16" t="s">
        <v>749</v>
      </c>
      <c r="F12" s="13">
        <v>-0.12462052041429317</v>
      </c>
      <c r="H12" s="18"/>
      <c r="T12" s="18"/>
    </row>
    <row r="13" spans="1:20">
      <c r="A13" s="14">
        <v>11</v>
      </c>
      <c r="B13" s="16" t="s">
        <v>237</v>
      </c>
      <c r="C13" s="16" t="s">
        <v>750</v>
      </c>
      <c r="D13" s="17">
        <v>3.798375690751305E-4</v>
      </c>
      <c r="E13" s="16" t="s">
        <v>745</v>
      </c>
      <c r="F13" s="13">
        <v>-3.6416478379304285E-2</v>
      </c>
      <c r="H13" s="18"/>
      <c r="T13" s="18"/>
    </row>
    <row r="14" spans="1:20">
      <c r="A14" s="14">
        <v>12</v>
      </c>
      <c r="B14" s="16" t="s">
        <v>238</v>
      </c>
      <c r="C14" s="16" t="s">
        <v>751</v>
      </c>
      <c r="D14" s="17">
        <v>7.1546699515503802E-4</v>
      </c>
      <c r="E14" s="16" t="s">
        <v>752</v>
      </c>
      <c r="F14" s="13">
        <v>-0.19562773266708278</v>
      </c>
      <c r="H14" s="18"/>
      <c r="T14" s="18"/>
    </row>
    <row r="15" spans="1:20">
      <c r="A15" s="14">
        <v>13</v>
      </c>
      <c r="B15" s="16" t="s">
        <v>239</v>
      </c>
      <c r="C15" s="16" t="s">
        <v>753</v>
      </c>
      <c r="D15" s="17">
        <v>2.8794802953958383E-4</v>
      </c>
      <c r="E15" s="16" t="s">
        <v>740</v>
      </c>
      <c r="F15" s="13">
        <v>6.6713333095809624E-2</v>
      </c>
      <c r="H15" s="18"/>
      <c r="T15" s="18"/>
    </row>
    <row r="16" spans="1:20">
      <c r="A16" s="14">
        <v>14</v>
      </c>
      <c r="B16" s="16" t="s">
        <v>240</v>
      </c>
      <c r="C16" s="16" t="s">
        <v>754</v>
      </c>
      <c r="D16" s="17">
        <v>2.3979878511115556E-4</v>
      </c>
      <c r="E16" s="16" t="s">
        <v>755</v>
      </c>
      <c r="F16" s="13">
        <v>-4.3351865214377172E-2</v>
      </c>
      <c r="H16" s="18"/>
      <c r="T16" s="18"/>
    </row>
    <row r="17" spans="1:20">
      <c r="A17" s="14">
        <v>15</v>
      </c>
      <c r="B17" s="16" t="s">
        <v>241</v>
      </c>
      <c r="C17" s="16" t="s">
        <v>756</v>
      </c>
      <c r="D17" s="17">
        <v>2.5965814939025184E-3</v>
      </c>
      <c r="E17" s="16" t="s">
        <v>738</v>
      </c>
      <c r="F17" s="13">
        <v>-0.16647404665706311</v>
      </c>
      <c r="H17" s="18"/>
      <c r="T17" s="18"/>
    </row>
    <row r="18" spans="1:20">
      <c r="A18" s="14">
        <v>16</v>
      </c>
      <c r="B18" s="16" t="s">
        <v>242</v>
      </c>
      <c r="C18" s="16" t="s">
        <v>757</v>
      </c>
      <c r="D18" s="17">
        <v>3.3178949582517858E-4</v>
      </c>
      <c r="E18" s="16" t="s">
        <v>740</v>
      </c>
      <c r="F18" s="13">
        <v>9.18318129050677E-2</v>
      </c>
      <c r="H18" s="18"/>
      <c r="T18" s="18"/>
    </row>
    <row r="19" spans="1:20">
      <c r="A19" s="14">
        <v>17</v>
      </c>
      <c r="B19" s="16" t="s">
        <v>243</v>
      </c>
      <c r="C19" s="16" t="s">
        <v>758</v>
      </c>
      <c r="D19" s="17">
        <v>5.7615909848209457E-4</v>
      </c>
      <c r="E19" s="16" t="s">
        <v>738</v>
      </c>
      <c r="F19" s="13">
        <v>0.42189127839295826</v>
      </c>
      <c r="H19" s="18"/>
      <c r="T19" s="18"/>
    </row>
    <row r="20" spans="1:20">
      <c r="A20" s="14">
        <v>18</v>
      </c>
      <c r="B20" s="16" t="s">
        <v>244</v>
      </c>
      <c r="C20" s="16" t="s">
        <v>759</v>
      </c>
      <c r="D20" s="17">
        <v>1.2859403647456167E-3</v>
      </c>
      <c r="E20" s="16" t="s">
        <v>742</v>
      </c>
      <c r="F20" s="13">
        <v>0.66230097586029868</v>
      </c>
      <c r="H20" s="18"/>
      <c r="T20" s="18"/>
    </row>
    <row r="21" spans="1:20">
      <c r="A21" s="14">
        <v>19</v>
      </c>
      <c r="B21" s="16" t="s">
        <v>245</v>
      </c>
      <c r="C21" s="16" t="s">
        <v>760</v>
      </c>
      <c r="D21" s="17">
        <v>2.9828716730650573E-4</v>
      </c>
      <c r="E21" s="16" t="s">
        <v>761</v>
      </c>
      <c r="F21" s="13">
        <v>0.53277383651925581</v>
      </c>
      <c r="H21" s="18"/>
      <c r="T21" s="18"/>
    </row>
    <row r="22" spans="1:20">
      <c r="A22" s="14">
        <v>20</v>
      </c>
      <c r="B22" s="16" t="s">
        <v>246</v>
      </c>
      <c r="C22" s="16" t="s">
        <v>762</v>
      </c>
      <c r="D22" s="17">
        <v>1.3780826293708576E-2</v>
      </c>
      <c r="E22" s="16" t="s">
        <v>738</v>
      </c>
      <c r="F22" s="13">
        <v>-3.3953909630673573E-2</v>
      </c>
      <c r="H22" s="18"/>
      <c r="T22" s="18"/>
    </row>
    <row r="23" spans="1:20">
      <c r="A23" s="14">
        <v>21</v>
      </c>
      <c r="B23" s="16" t="s">
        <v>247</v>
      </c>
      <c r="C23" s="16" t="s">
        <v>763</v>
      </c>
      <c r="D23" s="17">
        <v>1.0987236059599994E-3</v>
      </c>
      <c r="E23" s="16" t="s">
        <v>752</v>
      </c>
      <c r="F23" s="13">
        <v>0.19108315490936167</v>
      </c>
      <c r="H23" s="18"/>
      <c r="T23" s="18"/>
    </row>
    <row r="24" spans="1:20">
      <c r="A24" s="14">
        <v>22</v>
      </c>
      <c r="B24" s="16" t="s">
        <v>248</v>
      </c>
      <c r="C24" s="16" t="s">
        <v>764</v>
      </c>
      <c r="D24" s="17">
        <v>1.6919172000940765E-3</v>
      </c>
      <c r="E24" s="16" t="s">
        <v>736</v>
      </c>
      <c r="F24" s="13">
        <v>-9.7192293274534713E-2</v>
      </c>
      <c r="H24" s="18"/>
      <c r="T24" s="18"/>
    </row>
    <row r="25" spans="1:20">
      <c r="A25" s="14">
        <v>23</v>
      </c>
      <c r="B25" s="16" t="s">
        <v>249</v>
      </c>
      <c r="C25" s="16" t="s">
        <v>765</v>
      </c>
      <c r="D25" s="17">
        <v>1.9912481673663414E-3</v>
      </c>
      <c r="E25" s="16" t="s">
        <v>738</v>
      </c>
      <c r="F25" s="13">
        <v>-0.18721578425374563</v>
      </c>
      <c r="H25" s="18"/>
      <c r="T25" s="18"/>
    </row>
    <row r="26" spans="1:20">
      <c r="A26" s="14">
        <v>24</v>
      </c>
      <c r="B26" s="16" t="s">
        <v>250</v>
      </c>
      <c r="C26" s="16" t="s">
        <v>766</v>
      </c>
      <c r="D26" s="17">
        <v>5.9345581154204652E-3</v>
      </c>
      <c r="E26" s="16" t="s">
        <v>736</v>
      </c>
      <c r="F26" s="13">
        <v>-4.9208285911598537E-2</v>
      </c>
      <c r="H26" s="18"/>
      <c r="T26" s="18"/>
    </row>
    <row r="27" spans="1:20">
      <c r="A27" s="14">
        <v>25</v>
      </c>
      <c r="B27" s="16" t="s">
        <v>251</v>
      </c>
      <c r="C27" s="16" t="s">
        <v>767</v>
      </c>
      <c r="D27" s="17">
        <v>2.1984305707626846E-4</v>
      </c>
      <c r="E27" s="16" t="s">
        <v>742</v>
      </c>
      <c r="F27" s="13">
        <v>-0.19319744718965348</v>
      </c>
      <c r="H27" s="18"/>
      <c r="T27" s="18"/>
    </row>
    <row r="28" spans="1:20">
      <c r="A28" s="14">
        <v>26</v>
      </c>
      <c r="B28" s="16" t="s">
        <v>252</v>
      </c>
      <c r="C28" s="16" t="s">
        <v>768</v>
      </c>
      <c r="D28" s="17">
        <v>1.3304892252828143E-3</v>
      </c>
      <c r="E28" s="16" t="s">
        <v>738</v>
      </c>
      <c r="F28" s="13">
        <v>2.1796682683047353E-2</v>
      </c>
      <c r="H28" s="18"/>
      <c r="T28" s="18"/>
    </row>
    <row r="29" spans="1:20">
      <c r="A29" s="14">
        <v>27</v>
      </c>
      <c r="B29" s="16" t="s">
        <v>253</v>
      </c>
      <c r="C29" s="16" t="s">
        <v>769</v>
      </c>
      <c r="D29" s="17">
        <v>1.9440997073048101E-4</v>
      </c>
      <c r="E29" s="16" t="s">
        <v>740</v>
      </c>
      <c r="F29" s="13">
        <v>-8.9247104618376372E-2</v>
      </c>
      <c r="H29" s="18"/>
      <c r="T29" s="18"/>
    </row>
    <row r="30" spans="1:20">
      <c r="A30" s="14">
        <v>28</v>
      </c>
      <c r="B30" s="16" t="s">
        <v>254</v>
      </c>
      <c r="C30" s="16" t="s">
        <v>770</v>
      </c>
      <c r="D30" s="17">
        <v>2.661082495748639E-4</v>
      </c>
      <c r="E30" s="16" t="s">
        <v>755</v>
      </c>
      <c r="F30" s="13">
        <v>-3.1820172237636557E-3</v>
      </c>
      <c r="H30" s="18"/>
      <c r="T30" s="18"/>
    </row>
    <row r="31" spans="1:20">
      <c r="A31" s="14">
        <v>29</v>
      </c>
      <c r="B31" s="16" t="s">
        <v>255</v>
      </c>
      <c r="C31" s="16" t="s">
        <v>771</v>
      </c>
      <c r="D31" s="17">
        <v>2.7037089849905925E-3</v>
      </c>
      <c r="E31" s="16" t="s">
        <v>740</v>
      </c>
      <c r="F31" s="13">
        <v>-3.5825613557536995E-2</v>
      </c>
      <c r="H31" s="18"/>
      <c r="T31" s="18"/>
    </row>
    <row r="32" spans="1:20">
      <c r="A32" s="14">
        <v>30</v>
      </c>
      <c r="B32" s="16" t="s">
        <v>256</v>
      </c>
      <c r="C32" s="16" t="s">
        <v>772</v>
      </c>
      <c r="D32" s="17">
        <v>1.728040033381304E-4</v>
      </c>
      <c r="E32" s="16" t="s">
        <v>736</v>
      </c>
      <c r="F32" s="13">
        <v>-0.44546161459069744</v>
      </c>
      <c r="H32" s="18"/>
      <c r="T32" s="18"/>
    </row>
    <row r="33" spans="1:20">
      <c r="A33" s="14">
        <v>31</v>
      </c>
      <c r="B33" s="16" t="s">
        <v>257</v>
      </c>
      <c r="C33" s="16" t="s">
        <v>773</v>
      </c>
      <c r="D33" s="17">
        <v>1.012627557440934E-3</v>
      </c>
      <c r="E33" s="16" t="s">
        <v>736</v>
      </c>
      <c r="F33" s="13">
        <v>-0.17005387133314509</v>
      </c>
      <c r="H33" s="18"/>
      <c r="T33" s="18"/>
    </row>
    <row r="34" spans="1:20">
      <c r="A34" s="14">
        <v>32</v>
      </c>
      <c r="B34" s="16" t="s">
        <v>258</v>
      </c>
      <c r="C34" s="16" t="s">
        <v>774</v>
      </c>
      <c r="D34" s="17">
        <v>1.0242893948503313E-3</v>
      </c>
      <c r="E34" s="16" t="s">
        <v>752</v>
      </c>
      <c r="F34" s="13">
        <v>-7.602838300448489E-2</v>
      </c>
      <c r="H34" s="18"/>
      <c r="T34" s="18"/>
    </row>
    <row r="35" spans="1:20">
      <c r="A35" s="14">
        <v>33</v>
      </c>
      <c r="B35" s="16" t="s">
        <v>259</v>
      </c>
      <c r="C35" s="16" t="s">
        <v>775</v>
      </c>
      <c r="D35" s="17">
        <v>2.7006303211881728E-4</v>
      </c>
      <c r="E35" s="16" t="s">
        <v>738</v>
      </c>
      <c r="F35" s="13">
        <v>-3.5712781194709442E-2</v>
      </c>
      <c r="H35" s="18"/>
      <c r="T35" s="18"/>
    </row>
    <row r="36" spans="1:20">
      <c r="A36" s="14">
        <v>34</v>
      </c>
      <c r="B36" s="16" t="s">
        <v>260</v>
      </c>
      <c r="C36" s="16" t="s">
        <v>776</v>
      </c>
      <c r="D36" s="17">
        <v>2.7919823127978285E-4</v>
      </c>
      <c r="E36" s="16" t="s">
        <v>761</v>
      </c>
      <c r="F36" s="13">
        <v>-7.2233120185728805E-2</v>
      </c>
      <c r="H36" s="18"/>
      <c r="T36" s="18"/>
    </row>
    <row r="37" spans="1:20">
      <c r="A37" s="14">
        <v>35</v>
      </c>
      <c r="B37" s="16" t="s">
        <v>261</v>
      </c>
      <c r="C37" s="16" t="s">
        <v>777</v>
      </c>
      <c r="D37" s="17">
        <v>3.5340927775848671E-2</v>
      </c>
      <c r="E37" s="16" t="s">
        <v>749</v>
      </c>
      <c r="F37" s="13">
        <v>0.23092409504883893</v>
      </c>
      <c r="H37" s="18"/>
      <c r="T37" s="18"/>
    </row>
    <row r="38" spans="1:20">
      <c r="A38" s="14">
        <v>36</v>
      </c>
      <c r="B38" s="16" t="s">
        <v>262</v>
      </c>
      <c r="C38" s="16" t="s">
        <v>778</v>
      </c>
      <c r="D38" s="17">
        <v>1.7224670185234969E-3</v>
      </c>
      <c r="E38" s="16" t="s">
        <v>736</v>
      </c>
      <c r="F38" s="13">
        <v>-4.1116493044035418E-2</v>
      </c>
      <c r="H38" s="18"/>
      <c r="T38" s="18"/>
    </row>
    <row r="39" spans="1:20">
      <c r="A39" s="14">
        <v>37</v>
      </c>
      <c r="B39" s="16" t="s">
        <v>263</v>
      </c>
      <c r="C39" s="16" t="s">
        <v>779</v>
      </c>
      <c r="D39" s="17">
        <v>1.0167800754298864E-3</v>
      </c>
      <c r="E39" s="16" t="s">
        <v>738</v>
      </c>
      <c r="F39" s="13">
        <v>-0.26204929046103287</v>
      </c>
      <c r="H39" s="18"/>
      <c r="T39" s="18"/>
    </row>
    <row r="40" spans="1:20">
      <c r="A40" s="14">
        <v>38</v>
      </c>
      <c r="B40" s="16" t="s">
        <v>264</v>
      </c>
      <c r="C40" s="16" t="s">
        <v>780</v>
      </c>
      <c r="D40" s="17">
        <v>5.6577843556291111E-4</v>
      </c>
      <c r="E40" s="16" t="s">
        <v>781</v>
      </c>
      <c r="F40" s="13">
        <v>8.6261486653745001E-2</v>
      </c>
      <c r="H40" s="18"/>
      <c r="T40" s="18"/>
    </row>
    <row r="41" spans="1:20">
      <c r="A41" s="14">
        <v>39</v>
      </c>
      <c r="B41" s="16" t="s">
        <v>265</v>
      </c>
      <c r="C41" s="16" t="s">
        <v>782</v>
      </c>
      <c r="D41" s="17">
        <v>1.0361754465504304E-3</v>
      </c>
      <c r="E41" s="16" t="e">
        <v>#N/A</v>
      </c>
      <c r="F41" s="13">
        <v>0</v>
      </c>
      <c r="H41" s="18"/>
      <c r="T41" s="18"/>
    </row>
    <row r="42" spans="1:20">
      <c r="A42" s="14">
        <v>40</v>
      </c>
      <c r="B42" s="16" t="s">
        <v>266</v>
      </c>
      <c r="C42" s="16" t="s">
        <v>783</v>
      </c>
      <c r="D42" s="17">
        <v>6.3697356632724808E-3</v>
      </c>
      <c r="E42" s="16" t="s">
        <v>738</v>
      </c>
      <c r="F42" s="13">
        <v>-0.10990407536728652</v>
      </c>
      <c r="H42" s="18"/>
      <c r="T42" s="18"/>
    </row>
    <row r="43" spans="1:20">
      <c r="A43" s="14">
        <v>41</v>
      </c>
      <c r="B43" s="16" t="s">
        <v>267</v>
      </c>
      <c r="C43" s="16" t="s">
        <v>784</v>
      </c>
      <c r="D43" s="17">
        <v>6.9136446233172822E-4</v>
      </c>
      <c r="E43" s="16" t="s">
        <v>736</v>
      </c>
      <c r="F43" s="13">
        <v>-0.17451006731443741</v>
      </c>
      <c r="H43" s="18"/>
      <c r="T43" s="18"/>
    </row>
    <row r="44" spans="1:20">
      <c r="A44" s="14">
        <v>42</v>
      </c>
      <c r="B44" s="16" t="s">
        <v>268</v>
      </c>
      <c r="C44" s="16" t="s">
        <v>785</v>
      </c>
      <c r="D44" s="17">
        <v>5.2832445702109257E-4</v>
      </c>
      <c r="E44" s="16" t="s">
        <v>736</v>
      </c>
      <c r="F44" s="13">
        <v>-0.35862740947281246</v>
      </c>
      <c r="H44" s="18"/>
      <c r="T44" s="18"/>
    </row>
    <row r="45" spans="1:20">
      <c r="A45" s="14">
        <v>43</v>
      </c>
      <c r="B45" s="16" t="s">
        <v>269</v>
      </c>
      <c r="C45" s="16" t="s">
        <v>786</v>
      </c>
      <c r="D45" s="17">
        <v>2.1257046448865105E-4</v>
      </c>
      <c r="E45" s="16" t="s">
        <v>740</v>
      </c>
      <c r="F45" s="13">
        <v>-0.15524457604470021</v>
      </c>
      <c r="H45" s="18"/>
      <c r="T45" s="18"/>
    </row>
    <row r="46" spans="1:20">
      <c r="A46" s="14">
        <v>44</v>
      </c>
      <c r="B46" s="16" t="s">
        <v>270</v>
      </c>
      <c r="C46" s="16" t="s">
        <v>787</v>
      </c>
      <c r="D46" s="17">
        <v>1.9144961150488333E-4</v>
      </c>
      <c r="E46" s="16" t="s">
        <v>736</v>
      </c>
      <c r="F46" s="13">
        <v>-0.22512637159413118</v>
      </c>
      <c r="H46" s="18"/>
      <c r="T46" s="18"/>
    </row>
    <row r="47" spans="1:20">
      <c r="A47" s="14">
        <v>45</v>
      </c>
      <c r="B47" s="16" t="s">
        <v>271</v>
      </c>
      <c r="C47" s="16" t="s">
        <v>788</v>
      </c>
      <c r="D47" s="17">
        <v>2.136497604837992E-4</v>
      </c>
      <c r="E47" s="16" t="s">
        <v>781</v>
      </c>
      <c r="F47" s="13">
        <v>0.53665024260054506</v>
      </c>
      <c r="H47" s="18"/>
      <c r="T47" s="18"/>
    </row>
    <row r="48" spans="1:20">
      <c r="A48" s="14">
        <v>46</v>
      </c>
      <c r="B48" s="16" t="s">
        <v>272</v>
      </c>
      <c r="C48" s="16" t="s">
        <v>789</v>
      </c>
      <c r="D48" s="17">
        <v>4.7965118737326176E-4</v>
      </c>
      <c r="E48" s="16" t="s">
        <v>740</v>
      </c>
      <c r="F48" s="13">
        <v>-0.11138112595145266</v>
      </c>
      <c r="H48" s="18"/>
      <c r="T48" s="18"/>
    </row>
    <row r="49" spans="1:20">
      <c r="A49" s="14">
        <v>47</v>
      </c>
      <c r="B49" s="16" t="s">
        <v>273</v>
      </c>
      <c r="C49" s="16" t="s">
        <v>790</v>
      </c>
      <c r="D49" s="17">
        <v>9.0510052330700932E-4</v>
      </c>
      <c r="E49" s="16" t="s">
        <v>742</v>
      </c>
      <c r="F49" s="13">
        <v>0.63391258047340338</v>
      </c>
      <c r="H49" s="18"/>
      <c r="T49" s="18"/>
    </row>
    <row r="50" spans="1:20">
      <c r="A50" s="14">
        <v>48</v>
      </c>
      <c r="B50" s="16" t="s">
        <v>274</v>
      </c>
      <c r="C50" s="16" t="s">
        <v>791</v>
      </c>
      <c r="D50" s="17">
        <v>2.371654814621317E-3</v>
      </c>
      <c r="E50" s="16" t="s">
        <v>740</v>
      </c>
      <c r="F50" s="13">
        <v>-0.11163408158339316</v>
      </c>
      <c r="H50" s="18"/>
      <c r="T50" s="18"/>
    </row>
    <row r="51" spans="1:20">
      <c r="A51" s="14">
        <v>49</v>
      </c>
      <c r="B51" s="16" t="s">
        <v>275</v>
      </c>
      <c r="C51" s="16" t="s">
        <v>792</v>
      </c>
      <c r="D51" s="17">
        <v>1.4722584455860652E-4</v>
      </c>
      <c r="E51" s="16" t="s">
        <v>749</v>
      </c>
      <c r="F51" s="13">
        <v>-0.43524416135881172</v>
      </c>
      <c r="H51" s="18"/>
      <c r="T51" s="18"/>
    </row>
    <row r="52" spans="1:20">
      <c r="A52" s="14">
        <v>50</v>
      </c>
      <c r="B52" s="16" t="s">
        <v>276</v>
      </c>
      <c r="C52" s="16" t="s">
        <v>793</v>
      </c>
      <c r="D52" s="17">
        <v>4.8109601733888887E-4</v>
      </c>
      <c r="E52" s="16" t="s">
        <v>740</v>
      </c>
      <c r="F52" s="13">
        <v>-0.30811962019700023</v>
      </c>
      <c r="H52" s="18"/>
      <c r="T52" s="18"/>
    </row>
    <row r="53" spans="1:20">
      <c r="A53" s="14">
        <v>51</v>
      </c>
      <c r="B53" s="16" t="s">
        <v>277</v>
      </c>
      <c r="C53" s="16" t="s">
        <v>794</v>
      </c>
      <c r="D53" s="17">
        <v>2.2560423723354817E-4</v>
      </c>
      <c r="E53" s="16" t="s">
        <v>740</v>
      </c>
      <c r="F53" s="13">
        <v>0.7561304039688177</v>
      </c>
      <c r="H53" s="18"/>
      <c r="T53" s="18"/>
    </row>
    <row r="54" spans="1:20">
      <c r="A54" s="14">
        <v>52</v>
      </c>
      <c r="B54" s="16" t="s">
        <v>278</v>
      </c>
      <c r="C54" s="16" t="s">
        <v>795</v>
      </c>
      <c r="D54" s="17">
        <v>4.7179335466670228E-4</v>
      </c>
      <c r="E54" s="16" t="s">
        <v>738</v>
      </c>
      <c r="F54" s="13">
        <v>-0.14895563348071261</v>
      </c>
      <c r="H54" s="18"/>
      <c r="T54" s="18"/>
    </row>
    <row r="55" spans="1:20">
      <c r="A55" s="14">
        <v>53</v>
      </c>
      <c r="B55" s="16" t="s">
        <v>279</v>
      </c>
      <c r="C55" s="16" t="s">
        <v>796</v>
      </c>
      <c r="D55" s="17">
        <v>1.3863457381976354E-3</v>
      </c>
      <c r="E55" s="16" t="s">
        <v>740</v>
      </c>
      <c r="F55" s="13">
        <v>-0.12263047930692828</v>
      </c>
      <c r="H55" s="18"/>
      <c r="T55" s="18"/>
    </row>
    <row r="56" spans="1:20">
      <c r="A56" s="14">
        <v>54</v>
      </c>
      <c r="B56" s="16" t="s">
        <v>280</v>
      </c>
      <c r="C56" s="16" t="s">
        <v>797</v>
      </c>
      <c r="D56" s="17">
        <v>6.7341871810871719E-4</v>
      </c>
      <c r="E56" s="16" t="s">
        <v>742</v>
      </c>
      <c r="F56" s="13">
        <v>0.93315696649029833</v>
      </c>
      <c r="H56" s="18"/>
      <c r="T56" s="18"/>
    </row>
    <row r="57" spans="1:20">
      <c r="A57" s="14">
        <v>55</v>
      </c>
      <c r="B57" s="16" t="s">
        <v>281</v>
      </c>
      <c r="C57" s="16" t="s">
        <v>798</v>
      </c>
      <c r="D57" s="17">
        <v>3.9018967241645275E-4</v>
      </c>
      <c r="E57" s="16" t="s">
        <v>738</v>
      </c>
      <c r="F57" s="13">
        <v>-0.1425715566418001</v>
      </c>
      <c r="H57" s="18"/>
      <c r="T57" s="18"/>
    </row>
    <row r="58" spans="1:20">
      <c r="A58" s="14">
        <v>56</v>
      </c>
      <c r="B58" s="16" t="s">
        <v>282</v>
      </c>
      <c r="C58" s="16" t="s">
        <v>799</v>
      </c>
      <c r="D58" s="17">
        <v>7.036296588313453E-5</v>
      </c>
      <c r="E58" s="16" t="s">
        <v>800</v>
      </c>
      <c r="F58" s="13">
        <v>5.4234925961358371E-3</v>
      </c>
      <c r="H58" s="18"/>
      <c r="T58" s="18"/>
    </row>
    <row r="59" spans="1:20">
      <c r="A59" s="14">
        <v>57</v>
      </c>
      <c r="B59" s="16" t="s">
        <v>283</v>
      </c>
      <c r="C59" s="16" t="s">
        <v>801</v>
      </c>
      <c r="D59" s="17">
        <v>6.6753784958210492E-4</v>
      </c>
      <c r="E59" s="16" t="s">
        <v>752</v>
      </c>
      <c r="F59" s="13">
        <v>-0.12510002667378151</v>
      </c>
      <c r="H59" s="18"/>
      <c r="T59" s="18"/>
    </row>
    <row r="60" spans="1:20">
      <c r="A60" s="14">
        <v>58</v>
      </c>
      <c r="B60" s="16" t="s">
        <v>284</v>
      </c>
      <c r="C60" s="16" t="s">
        <v>802</v>
      </c>
      <c r="D60" s="17">
        <v>3.7769199860571657E-3</v>
      </c>
      <c r="E60" s="16" t="s">
        <v>738</v>
      </c>
      <c r="F60" s="13">
        <v>0.11415440313237868</v>
      </c>
      <c r="H60" s="18"/>
      <c r="T60" s="18"/>
    </row>
    <row r="61" spans="1:20">
      <c r="A61" s="14">
        <v>59</v>
      </c>
      <c r="B61" s="16" t="s">
        <v>285</v>
      </c>
      <c r="C61" s="16" t="s">
        <v>803</v>
      </c>
      <c r="D61" s="17">
        <v>3.4547664067449658E-4</v>
      </c>
      <c r="E61" s="16" t="s">
        <v>736</v>
      </c>
      <c r="F61" s="13">
        <v>-0.227392853853294</v>
      </c>
      <c r="H61" s="18"/>
      <c r="T61" s="18"/>
    </row>
    <row r="62" spans="1:20">
      <c r="A62" s="14">
        <v>60</v>
      </c>
      <c r="B62" s="16" t="s">
        <v>286</v>
      </c>
      <c r="C62" s="16" t="s">
        <v>804</v>
      </c>
      <c r="D62" s="17">
        <v>1.0390672821521433E-3</v>
      </c>
      <c r="E62" s="16" t="s">
        <v>738</v>
      </c>
      <c r="F62" s="13">
        <v>8.119997768978382E-2</v>
      </c>
      <c r="H62" s="18"/>
      <c r="T62" s="18"/>
    </row>
    <row r="63" spans="1:20">
      <c r="A63" s="14">
        <v>61</v>
      </c>
      <c r="B63" s="16" t="s">
        <v>287</v>
      </c>
      <c r="C63" s="16" t="s">
        <v>805</v>
      </c>
      <c r="D63" s="17">
        <v>3.3881644688012397E-4</v>
      </c>
      <c r="E63" s="16" t="s">
        <v>736</v>
      </c>
      <c r="F63" s="13">
        <v>-0.1192052391294669</v>
      </c>
      <c r="H63" s="18"/>
      <c r="T63" s="18"/>
    </row>
    <row r="64" spans="1:20">
      <c r="A64" s="14">
        <v>62</v>
      </c>
      <c r="B64" s="16" t="s">
        <v>288</v>
      </c>
      <c r="C64" s="16" t="s">
        <v>806</v>
      </c>
      <c r="D64" s="17">
        <v>4.2582796178501024E-4</v>
      </c>
      <c r="E64" s="16" t="s">
        <v>745</v>
      </c>
      <c r="F64" s="13">
        <v>0.18559171041738587</v>
      </c>
      <c r="H64" s="18"/>
      <c r="T64" s="18"/>
    </row>
    <row r="65" spans="1:20">
      <c r="A65" s="14">
        <v>63</v>
      </c>
      <c r="B65" s="16" t="s">
        <v>289</v>
      </c>
      <c r="C65" s="16" t="s">
        <v>807</v>
      </c>
      <c r="D65" s="17">
        <v>1.0193399328957051E-3</v>
      </c>
      <c r="E65" s="16" t="s">
        <v>781</v>
      </c>
      <c r="F65" s="13">
        <v>0.40596016909702182</v>
      </c>
      <c r="H65" s="18"/>
      <c r="T65" s="18"/>
    </row>
    <row r="66" spans="1:20">
      <c r="A66" s="14">
        <v>64</v>
      </c>
      <c r="B66" s="16" t="s">
        <v>290</v>
      </c>
      <c r="C66" s="16" t="s">
        <v>808</v>
      </c>
      <c r="D66" s="17">
        <v>9.3833674416286133E-4</v>
      </c>
      <c r="E66" s="16" t="s">
        <v>738</v>
      </c>
      <c r="F66" s="13">
        <v>-0.34102942452912122</v>
      </c>
      <c r="H66" s="18"/>
      <c r="T66" s="18"/>
    </row>
    <row r="67" spans="1:20">
      <c r="A67" s="14">
        <v>65</v>
      </c>
      <c r="B67" s="16" t="s">
        <v>291</v>
      </c>
      <c r="C67" s="16" t="s">
        <v>809</v>
      </c>
      <c r="D67" s="17">
        <v>3.034493611782278E-4</v>
      </c>
      <c r="E67" s="16" t="s">
        <v>745</v>
      </c>
      <c r="F67" s="13">
        <v>0.15434579233838019</v>
      </c>
      <c r="H67" s="18"/>
      <c r="T67" s="18"/>
    </row>
    <row r="68" spans="1:20">
      <c r="A68" s="14">
        <v>66</v>
      </c>
      <c r="B68" s="16" t="s">
        <v>292</v>
      </c>
      <c r="C68" s="16" t="s">
        <v>810</v>
      </c>
      <c r="D68" s="17">
        <v>4.8613947965253158E-4</v>
      </c>
      <c r="E68" s="16" t="s">
        <v>755</v>
      </c>
      <c r="F68" s="13">
        <v>2.9438180278478887E-2</v>
      </c>
      <c r="H68" s="18"/>
      <c r="T68" s="18"/>
    </row>
    <row r="69" spans="1:20">
      <c r="A69" s="14">
        <v>67</v>
      </c>
      <c r="B69" s="16" t="s">
        <v>293</v>
      </c>
      <c r="C69" s="16" t="s">
        <v>811</v>
      </c>
      <c r="D69" s="17">
        <v>3.5383717659208782E-4</v>
      </c>
      <c r="E69" s="16" t="s">
        <v>752</v>
      </c>
      <c r="F69" s="13">
        <v>6.8739198533969148E-2</v>
      </c>
      <c r="H69" s="18"/>
      <c r="T69" s="18"/>
    </row>
    <row r="70" spans="1:20">
      <c r="A70" s="14">
        <v>68</v>
      </c>
      <c r="B70" s="16" t="s">
        <v>294</v>
      </c>
      <c r="C70" s="16" t="s">
        <v>812</v>
      </c>
      <c r="D70" s="17">
        <v>5.7298863471286774E-4</v>
      </c>
      <c r="E70" s="16" t="s">
        <v>745</v>
      </c>
      <c r="F70" s="13">
        <v>7.0692272838044801E-2</v>
      </c>
      <c r="H70" s="18"/>
      <c r="T70" s="18"/>
    </row>
    <row r="71" spans="1:20">
      <c r="A71" s="14">
        <v>69</v>
      </c>
      <c r="B71" s="16" t="s">
        <v>295</v>
      </c>
      <c r="C71" s="16" t="s">
        <v>748</v>
      </c>
      <c r="D71" s="17">
        <v>1.2590322963820192E-4</v>
      </c>
      <c r="E71" s="16" t="s">
        <v>749</v>
      </c>
      <c r="F71" s="13">
        <v>-0.12169363396252753</v>
      </c>
      <c r="H71" s="18"/>
      <c r="T71" s="18"/>
    </row>
    <row r="72" spans="1:20">
      <c r="A72" s="14">
        <v>70</v>
      </c>
      <c r="B72" s="16" t="s">
        <v>296</v>
      </c>
      <c r="C72" s="16" t="s">
        <v>813</v>
      </c>
      <c r="D72" s="17">
        <v>4.4854966736598709E-4</v>
      </c>
      <c r="E72" s="16" t="s">
        <v>736</v>
      </c>
      <c r="F72" s="13">
        <v>-0.25447042640990281</v>
      </c>
      <c r="H72" s="18"/>
      <c r="T72" s="18"/>
    </row>
    <row r="73" spans="1:20">
      <c r="A73" s="14">
        <v>71</v>
      </c>
      <c r="B73" s="16" t="s">
        <v>297</v>
      </c>
      <c r="C73" s="16" t="s">
        <v>814</v>
      </c>
      <c r="D73" s="17">
        <v>9.3356930829029055E-5</v>
      </c>
      <c r="E73" s="16" t="s">
        <v>752</v>
      </c>
      <c r="F73" s="13">
        <v>-0.19829896495888744</v>
      </c>
      <c r="H73" s="18"/>
      <c r="T73" s="18"/>
    </row>
    <row r="74" spans="1:20">
      <c r="A74" s="14">
        <v>72</v>
      </c>
      <c r="B74" s="16" t="s">
        <v>298</v>
      </c>
      <c r="C74" s="16" t="s">
        <v>815</v>
      </c>
      <c r="D74" s="17">
        <v>1.0694864945423196E-3</v>
      </c>
      <c r="E74" s="16" t="s">
        <v>740</v>
      </c>
      <c r="F74" s="13">
        <v>-0.1098450553899375</v>
      </c>
      <c r="H74" s="18"/>
      <c r="T74" s="18"/>
    </row>
    <row r="75" spans="1:20">
      <c r="A75" s="14">
        <v>73</v>
      </c>
      <c r="B75" s="16" t="s">
        <v>299</v>
      </c>
      <c r="C75" s="16" t="s">
        <v>816</v>
      </c>
      <c r="D75" s="17">
        <v>8.9953687655924981E-4</v>
      </c>
      <c r="E75" s="16" t="s">
        <v>755</v>
      </c>
      <c r="F75" s="13">
        <v>0.10451057946590203</v>
      </c>
      <c r="H75" s="18"/>
      <c r="T75" s="18"/>
    </row>
    <row r="76" spans="1:20">
      <c r="A76" s="14">
        <v>74</v>
      </c>
      <c r="B76" s="16" t="s">
        <v>300</v>
      </c>
      <c r="C76" s="16" t="s">
        <v>817</v>
      </c>
      <c r="D76" s="17">
        <v>2.9890619951760821E-4</v>
      </c>
      <c r="E76" s="16" t="s">
        <v>736</v>
      </c>
      <c r="F76" s="13">
        <v>0.33217519691705388</v>
      </c>
      <c r="H76" s="18"/>
      <c r="T76" s="18"/>
    </row>
    <row r="77" spans="1:20">
      <c r="A77" s="14">
        <v>75</v>
      </c>
      <c r="B77" s="16" t="s">
        <v>301</v>
      </c>
      <c r="C77" s="16" t="s">
        <v>818</v>
      </c>
      <c r="D77" s="17">
        <v>1.9300827717058468E-4</v>
      </c>
      <c r="E77" s="16" t="s">
        <v>761</v>
      </c>
      <c r="F77" s="13">
        <v>-0.12465525488300122</v>
      </c>
      <c r="H77" s="18"/>
      <c r="T77" s="18"/>
    </row>
    <row r="78" spans="1:20">
      <c r="A78" s="14">
        <v>76</v>
      </c>
      <c r="B78" s="16" t="s">
        <v>302</v>
      </c>
      <c r="C78" s="16" t="s">
        <v>819</v>
      </c>
      <c r="D78" s="17">
        <v>9.5505320737889485E-4</v>
      </c>
      <c r="E78" s="16" t="s">
        <v>738</v>
      </c>
      <c r="F78" s="13">
        <v>-9.9461318639982865E-2</v>
      </c>
      <c r="H78" s="18"/>
      <c r="T78" s="18"/>
    </row>
    <row r="79" spans="1:20">
      <c r="A79" s="14">
        <v>77</v>
      </c>
      <c r="B79" s="16" t="s">
        <v>303</v>
      </c>
      <c r="C79" s="16" t="s">
        <v>820</v>
      </c>
      <c r="D79" s="17">
        <v>1.0983052630586772E-3</v>
      </c>
      <c r="E79" s="16" t="s">
        <v>740</v>
      </c>
      <c r="F79" s="13">
        <v>9.153400564661629E-2</v>
      </c>
      <c r="H79" s="18"/>
      <c r="T79" s="18"/>
    </row>
    <row r="80" spans="1:20">
      <c r="A80" s="14">
        <v>78</v>
      </c>
      <c r="B80" s="16" t="s">
        <v>304</v>
      </c>
      <c r="C80" s="16" t="s">
        <v>821</v>
      </c>
      <c r="D80" s="17">
        <v>3.6474770965890945E-4</v>
      </c>
      <c r="E80" s="16" t="s">
        <v>781</v>
      </c>
      <c r="F80" s="13">
        <v>-0.10085201025095558</v>
      </c>
      <c r="H80" s="18"/>
      <c r="T80" s="18"/>
    </row>
    <row r="81" spans="1:20">
      <c r="A81" s="14">
        <v>79</v>
      </c>
      <c r="B81" s="16" t="s">
        <v>305</v>
      </c>
      <c r="C81" s="16" t="s">
        <v>822</v>
      </c>
      <c r="D81" s="17">
        <v>2.4043340743174998E-3</v>
      </c>
      <c r="E81" s="16" t="s">
        <v>742</v>
      </c>
      <c r="F81" s="13">
        <v>-0.10458174638796414</v>
      </c>
      <c r="H81" s="18"/>
      <c r="T81" s="18"/>
    </row>
    <row r="82" spans="1:20">
      <c r="A82" s="14">
        <v>80</v>
      </c>
      <c r="B82" s="16" t="s">
        <v>306</v>
      </c>
      <c r="C82" s="16" t="s">
        <v>823</v>
      </c>
      <c r="D82" s="17">
        <v>3.6764467345877651E-3</v>
      </c>
      <c r="E82" s="16" t="s">
        <v>738</v>
      </c>
      <c r="F82" s="13">
        <v>-0.19393496276660027</v>
      </c>
      <c r="H82" s="18"/>
      <c r="T82" s="18"/>
    </row>
    <row r="83" spans="1:20">
      <c r="A83" s="14">
        <v>81</v>
      </c>
      <c r="B83" s="16" t="s">
        <v>307</v>
      </c>
      <c r="C83" s="16" t="s">
        <v>824</v>
      </c>
      <c r="D83" s="17">
        <v>5.0949795249244085E-4</v>
      </c>
      <c r="E83" s="16" t="s">
        <v>761</v>
      </c>
      <c r="F83" s="13">
        <v>-0.15099757570662975</v>
      </c>
      <c r="H83" s="18"/>
      <c r="T83" s="18"/>
    </row>
    <row r="84" spans="1:20">
      <c r="A84" s="14">
        <v>82</v>
      </c>
      <c r="B84" s="16" t="s">
        <v>308</v>
      </c>
      <c r="C84" s="16" t="s">
        <v>825</v>
      </c>
      <c r="D84" s="17">
        <v>4.7967639906307513E-4</v>
      </c>
      <c r="E84" s="16" t="s">
        <v>740</v>
      </c>
      <c r="F84" s="13">
        <v>-8.9224252051893993E-2</v>
      </c>
      <c r="H84" s="18"/>
      <c r="T84" s="18"/>
    </row>
    <row r="85" spans="1:20">
      <c r="A85" s="14">
        <v>83</v>
      </c>
      <c r="B85" s="16" t="s">
        <v>309</v>
      </c>
      <c r="C85" s="16" t="s">
        <v>826</v>
      </c>
      <c r="D85" s="17">
        <v>6.6226014229351347E-4</v>
      </c>
      <c r="E85" s="16" t="s">
        <v>781</v>
      </c>
      <c r="F85" s="13">
        <v>0.39494922232583018</v>
      </c>
      <c r="H85" s="18"/>
      <c r="T85" s="18"/>
    </row>
    <row r="86" spans="1:20">
      <c r="A86" s="14">
        <v>84</v>
      </c>
      <c r="B86" s="16" t="s">
        <v>310</v>
      </c>
      <c r="C86" s="16" t="s">
        <v>827</v>
      </c>
      <c r="D86" s="17">
        <v>9.1273287933669924E-4</v>
      </c>
      <c r="E86" s="16" t="s">
        <v>781</v>
      </c>
      <c r="F86" s="13">
        <v>0.27851484269695015</v>
      </c>
      <c r="H86" s="18"/>
      <c r="T86" s="18"/>
    </row>
    <row r="87" spans="1:20">
      <c r="A87" s="14">
        <v>85</v>
      </c>
      <c r="B87" s="16" t="s">
        <v>311</v>
      </c>
      <c r="C87" s="16" t="s">
        <v>828</v>
      </c>
      <c r="D87" s="17">
        <v>1.1101840439576229E-3</v>
      </c>
      <c r="E87" s="16" t="s">
        <v>742</v>
      </c>
      <c r="F87" s="13">
        <v>0.94514485668707815</v>
      </c>
      <c r="H87" s="18"/>
      <c r="T87" s="18"/>
    </row>
    <row r="88" spans="1:20">
      <c r="A88" s="14">
        <v>86</v>
      </c>
      <c r="B88" s="16" t="s">
        <v>312</v>
      </c>
      <c r="C88" s="16" t="s">
        <v>829</v>
      </c>
      <c r="D88" s="17">
        <v>5.6742971848581603E-4</v>
      </c>
      <c r="E88" s="16" t="s">
        <v>745</v>
      </c>
      <c r="F88" s="13">
        <v>1.3324172796915112E-2</v>
      </c>
      <c r="H88" s="18"/>
      <c r="T88" s="18"/>
    </row>
    <row r="89" spans="1:20">
      <c r="A89" s="14">
        <v>87</v>
      </c>
      <c r="B89" s="16" t="s">
        <v>313</v>
      </c>
      <c r="C89" s="16" t="s">
        <v>830</v>
      </c>
      <c r="D89" s="17">
        <v>3.5644175985979454E-3</v>
      </c>
      <c r="E89" s="16" t="s">
        <v>742</v>
      </c>
      <c r="F89" s="13">
        <v>0.24174116158739167</v>
      </c>
      <c r="H89" s="18"/>
      <c r="T89" s="18"/>
    </row>
    <row r="90" spans="1:20">
      <c r="A90" s="14">
        <v>88</v>
      </c>
      <c r="B90" s="16" t="s">
        <v>314</v>
      </c>
      <c r="C90" s="16" t="s">
        <v>831</v>
      </c>
      <c r="D90" s="17">
        <v>1.0107075186956621E-4</v>
      </c>
      <c r="E90" s="16" t="s">
        <v>740</v>
      </c>
      <c r="F90" s="13">
        <v>-0.15420816054192032</v>
      </c>
      <c r="H90" s="18"/>
      <c r="T90" s="18"/>
    </row>
    <row r="91" spans="1:20">
      <c r="A91" s="14">
        <v>89</v>
      </c>
      <c r="B91" s="16" t="s">
        <v>315</v>
      </c>
      <c r="C91" s="16" t="s">
        <v>832</v>
      </c>
      <c r="D91" s="17">
        <v>4.184712845671337E-4</v>
      </c>
      <c r="E91" s="16" t="s">
        <v>745</v>
      </c>
      <c r="F91" s="13">
        <v>3.7949929939308014E-2</v>
      </c>
      <c r="H91" s="18"/>
      <c r="T91" s="18"/>
    </row>
    <row r="92" spans="1:20">
      <c r="A92" s="14">
        <v>90</v>
      </c>
      <c r="B92" s="16" t="s">
        <v>316</v>
      </c>
      <c r="C92" s="16" t="s">
        <v>833</v>
      </c>
      <c r="D92" s="17">
        <v>2.4317332232027137E-4</v>
      </c>
      <c r="E92" s="16" t="s">
        <v>740</v>
      </c>
      <c r="F92" s="13">
        <v>-9.562464145708427E-2</v>
      </c>
      <c r="H92" s="18"/>
      <c r="T92" s="18"/>
    </row>
    <row r="93" spans="1:20">
      <c r="A93" s="14">
        <v>91</v>
      </c>
      <c r="B93" s="16" t="s">
        <v>317</v>
      </c>
      <c r="C93" s="16" t="s">
        <v>834</v>
      </c>
      <c r="D93" s="17">
        <v>3.185153510402786E-3</v>
      </c>
      <c r="E93" s="16" t="s">
        <v>800</v>
      </c>
      <c r="F93" s="13">
        <v>5.5882028339118817E-2</v>
      </c>
      <c r="H93" s="18"/>
      <c r="T93" s="18"/>
    </row>
    <row r="94" spans="1:20">
      <c r="A94" s="14">
        <v>92</v>
      </c>
      <c r="B94" s="16" t="s">
        <v>318</v>
      </c>
      <c r="C94" s="16" t="s">
        <v>835</v>
      </c>
      <c r="D94" s="17">
        <v>1.3375312502982753E-3</v>
      </c>
      <c r="E94" s="16" t="s">
        <v>742</v>
      </c>
      <c r="F94" s="13">
        <v>-0.50964272714055425</v>
      </c>
      <c r="H94" s="18"/>
      <c r="T94" s="18"/>
    </row>
    <row r="95" spans="1:20">
      <c r="A95" s="14">
        <v>93</v>
      </c>
      <c r="B95" s="16" t="s">
        <v>319</v>
      </c>
      <c r="C95" s="16" t="s">
        <v>836</v>
      </c>
      <c r="D95" s="17">
        <v>1.1889023592080006E-4</v>
      </c>
      <c r="E95" s="16" t="s">
        <v>752</v>
      </c>
      <c r="F95" s="13">
        <v>-0.27699736611062364</v>
      </c>
      <c r="H95" s="18"/>
      <c r="T95" s="18"/>
    </row>
    <row r="96" spans="1:20">
      <c r="A96" s="14">
        <v>94</v>
      </c>
      <c r="B96" s="16" t="s">
        <v>320</v>
      </c>
      <c r="C96" s="16" t="s">
        <v>837</v>
      </c>
      <c r="D96" s="17">
        <v>3.4842827391699945E-4</v>
      </c>
      <c r="E96" s="16" t="s">
        <v>752</v>
      </c>
      <c r="F96" s="13">
        <v>-2.1181374411942011E-2</v>
      </c>
      <c r="H96" s="18"/>
      <c r="T96" s="18"/>
    </row>
    <row r="97" spans="1:20">
      <c r="A97" s="14">
        <v>95</v>
      </c>
      <c r="B97" s="16" t="s">
        <v>321</v>
      </c>
      <c r="C97" s="16" t="s">
        <v>838</v>
      </c>
      <c r="D97" s="17">
        <v>3.4260083715818026E-3</v>
      </c>
      <c r="E97" s="16" t="s">
        <v>738</v>
      </c>
      <c r="F97" s="13">
        <v>6.5438391339438517E-2</v>
      </c>
      <c r="H97" s="18"/>
      <c r="T97" s="18"/>
    </row>
    <row r="98" spans="1:20">
      <c r="A98" s="14">
        <v>96</v>
      </c>
      <c r="B98" s="16" t="s">
        <v>322</v>
      </c>
      <c r="C98" s="16" t="s">
        <v>839</v>
      </c>
      <c r="D98" s="17">
        <v>5.365655235725265E-4</v>
      </c>
      <c r="E98" s="16" t="s">
        <v>738</v>
      </c>
      <c r="F98" s="13">
        <v>2.4184956317919504E-2</v>
      </c>
      <c r="H98" s="18"/>
      <c r="T98" s="18"/>
    </row>
    <row r="99" spans="1:20">
      <c r="A99" s="14">
        <v>97</v>
      </c>
      <c r="B99" s="16" t="s">
        <v>323</v>
      </c>
      <c r="C99" s="16" t="s">
        <v>840</v>
      </c>
      <c r="D99" s="17">
        <v>8.3527218595560185E-2</v>
      </c>
      <c r="E99" s="16" t="s">
        <v>742</v>
      </c>
      <c r="F99" s="13">
        <v>0.16241355419499093</v>
      </c>
      <c r="H99" s="18"/>
      <c r="T99" s="18"/>
    </row>
    <row r="100" spans="1:20">
      <c r="A100" s="14">
        <v>98</v>
      </c>
      <c r="B100" s="16" t="s">
        <v>324</v>
      </c>
      <c r="C100" s="16" t="s">
        <v>841</v>
      </c>
      <c r="D100" s="17">
        <v>5.0651733158309741E-4</v>
      </c>
      <c r="E100" s="16" t="s">
        <v>736</v>
      </c>
      <c r="F100" s="13">
        <v>-0.16458447338540638</v>
      </c>
      <c r="H100" s="18"/>
      <c r="T100" s="18"/>
    </row>
    <row r="101" spans="1:20">
      <c r="A101" s="14">
        <v>99</v>
      </c>
      <c r="B101" s="16" t="s">
        <v>325</v>
      </c>
      <c r="C101" s="16" t="s">
        <v>842</v>
      </c>
      <c r="D101" s="17">
        <v>1.829556725288966E-3</v>
      </c>
      <c r="E101" s="16" t="s">
        <v>738</v>
      </c>
      <c r="F101" s="13">
        <v>-6.1512798181785677E-2</v>
      </c>
      <c r="H101" s="18"/>
      <c r="T101" s="18"/>
    </row>
    <row r="102" spans="1:20">
      <c r="A102" s="14">
        <v>100</v>
      </c>
      <c r="B102" s="16" t="s">
        <v>326</v>
      </c>
      <c r="C102" s="16" t="s">
        <v>843</v>
      </c>
      <c r="D102" s="17">
        <v>1.6304295809506197E-3</v>
      </c>
      <c r="E102" s="16" t="s">
        <v>740</v>
      </c>
      <c r="F102" s="13">
        <v>0.22878031471106608</v>
      </c>
      <c r="H102" s="18"/>
      <c r="T102" s="18"/>
    </row>
    <row r="103" spans="1:20">
      <c r="A103" s="14">
        <v>101</v>
      </c>
      <c r="B103" s="16" t="s">
        <v>327</v>
      </c>
      <c r="C103" s="16" t="s">
        <v>844</v>
      </c>
      <c r="D103" s="17">
        <v>6.1410076295070469E-4</v>
      </c>
      <c r="E103" s="16" t="s">
        <v>745</v>
      </c>
      <c r="F103" s="13">
        <v>-2.3194726399273669E-2</v>
      </c>
      <c r="H103" s="18"/>
      <c r="T103" s="18"/>
    </row>
    <row r="104" spans="1:20">
      <c r="A104" s="14">
        <v>102</v>
      </c>
      <c r="B104" s="16" t="s">
        <v>328</v>
      </c>
      <c r="C104" s="16" t="s">
        <v>845</v>
      </c>
      <c r="D104" s="17">
        <v>1.342234277708495E-3</v>
      </c>
      <c r="E104" s="16" t="s">
        <v>781</v>
      </c>
      <c r="F104" s="13">
        <v>0.43227749441311558</v>
      </c>
      <c r="H104" s="18"/>
      <c r="T104" s="18"/>
    </row>
    <row r="105" spans="1:20">
      <c r="A105" s="14">
        <v>103</v>
      </c>
      <c r="B105" s="16" t="s">
        <v>329</v>
      </c>
      <c r="C105" s="16" t="s">
        <v>846</v>
      </c>
      <c r="D105" s="17">
        <v>1.7082006462707905E-4</v>
      </c>
      <c r="E105" s="16" t="s">
        <v>736</v>
      </c>
      <c r="F105" s="13">
        <v>4.4927257578669666E-2</v>
      </c>
      <c r="H105" s="18"/>
      <c r="T105" s="18"/>
    </row>
    <row r="106" spans="1:20">
      <c r="A106" s="14">
        <v>104</v>
      </c>
      <c r="B106" s="16" t="s">
        <v>330</v>
      </c>
      <c r="C106" s="16" t="s">
        <v>847</v>
      </c>
      <c r="D106" s="17">
        <v>7.6355330079466797E-4</v>
      </c>
      <c r="E106" s="16" t="s">
        <v>740</v>
      </c>
      <c r="F106" s="13">
        <v>0.17110930443342598</v>
      </c>
      <c r="H106" s="18"/>
      <c r="T106" s="18"/>
    </row>
    <row r="107" spans="1:20">
      <c r="A107" s="14">
        <v>105</v>
      </c>
      <c r="B107" s="16" t="s">
        <v>331</v>
      </c>
      <c r="C107" s="16" t="s">
        <v>848</v>
      </c>
      <c r="D107" s="17">
        <v>1.7550397285812601E-4</v>
      </c>
      <c r="E107" s="16" t="s">
        <v>742</v>
      </c>
      <c r="F107" s="13">
        <v>0.15555052607932573</v>
      </c>
      <c r="H107" s="18"/>
      <c r="T107" s="18"/>
    </row>
    <row r="108" spans="1:20">
      <c r="A108" s="14">
        <v>106</v>
      </c>
      <c r="B108" s="16" t="s">
        <v>332</v>
      </c>
      <c r="C108" s="16" t="s">
        <v>849</v>
      </c>
      <c r="D108" s="17">
        <v>5.8715458670539303E-4</v>
      </c>
      <c r="E108" s="16" t="s">
        <v>738</v>
      </c>
      <c r="F108" s="13">
        <v>5.3722179585571794E-2</v>
      </c>
      <c r="H108" s="18"/>
      <c r="T108" s="18"/>
    </row>
    <row r="109" spans="1:20">
      <c r="A109" s="14">
        <v>107</v>
      </c>
      <c r="B109" s="16" t="s">
        <v>333</v>
      </c>
      <c r="C109" s="16" t="s">
        <v>850</v>
      </c>
      <c r="D109" s="17">
        <v>2.3629060841013631E-3</v>
      </c>
      <c r="E109" s="16" t="s">
        <v>738</v>
      </c>
      <c r="F109" s="13">
        <v>-0.10361018552212953</v>
      </c>
      <c r="H109" s="18"/>
      <c r="T109" s="18"/>
    </row>
    <row r="110" spans="1:20">
      <c r="A110" s="14">
        <v>108</v>
      </c>
      <c r="B110" s="16" t="s">
        <v>334</v>
      </c>
      <c r="C110" s="16" t="s">
        <v>851</v>
      </c>
      <c r="D110" s="17">
        <v>1.1557741909739768E-4</v>
      </c>
      <c r="E110" s="16" t="s">
        <v>736</v>
      </c>
      <c r="F110" s="13">
        <v>-4.3217912002081915E-2</v>
      </c>
      <c r="H110" s="18"/>
      <c r="T110" s="18"/>
    </row>
    <row r="111" spans="1:20">
      <c r="A111" s="14">
        <v>109</v>
      </c>
      <c r="B111" s="16" t="s">
        <v>335</v>
      </c>
      <c r="C111" s="16" t="s">
        <v>852</v>
      </c>
      <c r="D111" s="17">
        <v>7.749361765209754E-4</v>
      </c>
      <c r="E111" s="16" t="s">
        <v>742</v>
      </c>
      <c r="F111" s="13">
        <v>0.40936780935410666</v>
      </c>
      <c r="H111" s="18"/>
      <c r="T111" s="18"/>
    </row>
    <row r="112" spans="1:20">
      <c r="A112" s="14">
        <v>110</v>
      </c>
      <c r="B112" s="16" t="s">
        <v>336</v>
      </c>
      <c r="C112" s="16" t="s">
        <v>853</v>
      </c>
      <c r="D112" s="17">
        <v>1.3460606878892049E-3</v>
      </c>
      <c r="E112" s="16" t="s">
        <v>738</v>
      </c>
      <c r="F112" s="13">
        <v>-5.0066678477191151E-2</v>
      </c>
      <c r="H112" s="18"/>
      <c r="T112" s="18"/>
    </row>
    <row r="113" spans="1:20">
      <c r="A113" s="14">
        <v>111</v>
      </c>
      <c r="B113" s="16" t="s">
        <v>337</v>
      </c>
      <c r="C113" s="16" t="s">
        <v>854</v>
      </c>
      <c r="D113" s="17">
        <v>1.2161191193299113E-3</v>
      </c>
      <c r="E113" s="16" t="s">
        <v>752</v>
      </c>
      <c r="F113" s="13">
        <v>2.2138587558114375E-2</v>
      </c>
      <c r="H113" s="18"/>
      <c r="T113" s="18"/>
    </row>
    <row r="114" spans="1:20">
      <c r="A114" s="14">
        <v>112</v>
      </c>
      <c r="B114" s="16" t="s">
        <v>338</v>
      </c>
      <c r="C114" s="16" t="s">
        <v>855</v>
      </c>
      <c r="D114" s="17">
        <v>1.3906167623558001E-3</v>
      </c>
      <c r="E114" s="16" t="s">
        <v>738</v>
      </c>
      <c r="F114" s="13">
        <v>-0.23775577509758283</v>
      </c>
      <c r="H114" s="18"/>
      <c r="T114" s="18"/>
    </row>
    <row r="115" spans="1:20">
      <c r="A115" s="14">
        <v>113</v>
      </c>
      <c r="B115" s="16" t="s">
        <v>339</v>
      </c>
      <c r="C115" s="16" t="s">
        <v>856</v>
      </c>
      <c r="D115" s="17">
        <v>2.9827599702382724E-4</v>
      </c>
      <c r="E115" s="16" t="s">
        <v>761</v>
      </c>
      <c r="F115" s="13">
        <v>1.8405113895829661E-2</v>
      </c>
      <c r="H115" s="18"/>
      <c r="T115" s="18"/>
    </row>
    <row r="116" spans="1:20">
      <c r="A116" s="14">
        <v>114</v>
      </c>
      <c r="B116" s="16" t="s">
        <v>340</v>
      </c>
      <c r="C116" s="16" t="s">
        <v>857</v>
      </c>
      <c r="D116" s="17">
        <v>5.8711374615145258E-4</v>
      </c>
      <c r="E116" s="16" t="s">
        <v>742</v>
      </c>
      <c r="F116" s="13">
        <v>0.48344233958874483</v>
      </c>
      <c r="H116" s="18"/>
      <c r="T116" s="18"/>
    </row>
    <row r="117" spans="1:20">
      <c r="A117" s="14">
        <v>115</v>
      </c>
      <c r="B117" s="16" t="s">
        <v>341</v>
      </c>
      <c r="C117" s="16" t="s">
        <v>858</v>
      </c>
      <c r="D117" s="17">
        <v>8.7158289712008512E-4</v>
      </c>
      <c r="E117" s="16" t="s">
        <v>738</v>
      </c>
      <c r="F117" s="13">
        <v>5.7445431845656092E-2</v>
      </c>
      <c r="H117" s="18"/>
      <c r="T117" s="18"/>
    </row>
    <row r="118" spans="1:20">
      <c r="A118" s="14">
        <v>116</v>
      </c>
      <c r="B118" s="16" t="s">
        <v>342</v>
      </c>
      <c r="C118" s="16" t="s">
        <v>859</v>
      </c>
      <c r="D118" s="17">
        <v>5.6631529959420986E-4</v>
      </c>
      <c r="E118" s="16" t="s">
        <v>738</v>
      </c>
      <c r="F118" s="13">
        <v>-7.2159919248630411E-2</v>
      </c>
      <c r="H118" s="18"/>
      <c r="T118" s="18"/>
    </row>
    <row r="119" spans="1:20">
      <c r="A119" s="14">
        <v>117</v>
      </c>
      <c r="B119" s="16" t="s">
        <v>343</v>
      </c>
      <c r="C119" s="16" t="s">
        <v>860</v>
      </c>
      <c r="D119" s="17">
        <v>6.7475851174069585E-4</v>
      </c>
      <c r="E119" s="16" t="s">
        <v>738</v>
      </c>
      <c r="F119" s="13">
        <v>-0.18166828732084639</v>
      </c>
      <c r="H119" s="18"/>
      <c r="T119" s="18"/>
    </row>
    <row r="120" spans="1:20">
      <c r="A120" s="14">
        <v>118</v>
      </c>
      <c r="B120" s="16" t="s">
        <v>344</v>
      </c>
      <c r="C120" s="16" t="s">
        <v>861</v>
      </c>
      <c r="D120" s="17">
        <v>1.0158516610107704E-4</v>
      </c>
      <c r="E120" s="16" t="s">
        <v>736</v>
      </c>
      <c r="F120" s="13">
        <v>0.73487031700288208</v>
      </c>
      <c r="H120" s="18"/>
      <c r="T120" s="18"/>
    </row>
    <row r="121" spans="1:20">
      <c r="A121" s="14">
        <v>119</v>
      </c>
      <c r="B121" s="16" t="s">
        <v>345</v>
      </c>
      <c r="C121" s="16" t="s">
        <v>862</v>
      </c>
      <c r="D121" s="17">
        <v>3.5708186995295573E-4</v>
      </c>
      <c r="E121" s="16" t="s">
        <v>752</v>
      </c>
      <c r="F121" s="13">
        <v>2.8881582226018887E-2</v>
      </c>
      <c r="H121" s="18"/>
      <c r="T121" s="18"/>
    </row>
    <row r="122" spans="1:20">
      <c r="A122" s="14">
        <v>120</v>
      </c>
      <c r="B122" s="16" t="s">
        <v>346</v>
      </c>
      <c r="C122" s="16" t="s">
        <v>863</v>
      </c>
      <c r="D122" s="17">
        <v>3.5230109403075498E-4</v>
      </c>
      <c r="E122" s="16" t="s">
        <v>755</v>
      </c>
      <c r="F122" s="13">
        <v>7.2845455730818243E-2</v>
      </c>
      <c r="H122" s="18"/>
      <c r="T122" s="18"/>
    </row>
    <row r="123" spans="1:20">
      <c r="A123" s="14">
        <v>121</v>
      </c>
      <c r="B123" s="16" t="s">
        <v>347</v>
      </c>
      <c r="C123" s="16" t="s">
        <v>864</v>
      </c>
      <c r="D123" s="17">
        <v>5.9022898310616663E-3</v>
      </c>
      <c r="E123" s="16" t="s">
        <v>749</v>
      </c>
      <c r="F123" s="13">
        <v>-1.857346961204509E-2</v>
      </c>
      <c r="H123" s="18"/>
      <c r="T123" s="18"/>
    </row>
    <row r="124" spans="1:20">
      <c r="A124" s="14">
        <v>122</v>
      </c>
      <c r="B124" s="16" t="s">
        <v>348</v>
      </c>
      <c r="C124" s="16" t="s">
        <v>865</v>
      </c>
      <c r="D124" s="17">
        <v>1.6569620361542954E-3</v>
      </c>
      <c r="E124" s="16" t="s">
        <v>740</v>
      </c>
      <c r="F124" s="13">
        <v>5.7105287197250609E-2</v>
      </c>
      <c r="H124" s="18"/>
      <c r="T124" s="18"/>
    </row>
    <row r="125" spans="1:20">
      <c r="A125" s="14">
        <v>123</v>
      </c>
      <c r="B125" s="16" t="s">
        <v>349</v>
      </c>
      <c r="C125" s="16" t="s">
        <v>866</v>
      </c>
      <c r="D125" s="17">
        <v>1.4691290879113139E-3</v>
      </c>
      <c r="E125" s="16" t="s">
        <v>736</v>
      </c>
      <c r="F125" s="13">
        <v>-6.8378667365186052E-2</v>
      </c>
      <c r="H125" s="18"/>
      <c r="T125" s="18"/>
    </row>
    <row r="126" spans="1:20">
      <c r="A126" s="14">
        <v>124</v>
      </c>
      <c r="B126" s="16" t="s">
        <v>350</v>
      </c>
      <c r="C126" s="16" t="s">
        <v>867</v>
      </c>
      <c r="D126" s="17">
        <v>3.8249480281989849E-4</v>
      </c>
      <c r="E126" s="16" t="s">
        <v>742</v>
      </c>
      <c r="F126" s="13">
        <v>0.16998800264402658</v>
      </c>
      <c r="H126" s="18"/>
      <c r="T126" s="18"/>
    </row>
    <row r="127" spans="1:20">
      <c r="A127" s="14">
        <v>125</v>
      </c>
      <c r="B127" s="16" t="s">
        <v>351</v>
      </c>
      <c r="C127" s="16" t="s">
        <v>868</v>
      </c>
      <c r="D127" s="17">
        <v>1.7870942005508264E-4</v>
      </c>
      <c r="E127" s="16" t="s">
        <v>755</v>
      </c>
      <c r="F127" s="13">
        <v>4.7402253565130836E-2</v>
      </c>
      <c r="H127" s="18"/>
      <c r="T127" s="18"/>
    </row>
    <row r="128" spans="1:20">
      <c r="A128" s="14">
        <v>126</v>
      </c>
      <c r="B128" s="16" t="s">
        <v>352</v>
      </c>
      <c r="C128" s="16" t="s">
        <v>869</v>
      </c>
      <c r="D128" s="17">
        <v>7.5867631967732098E-4</v>
      </c>
      <c r="E128" s="16" t="s">
        <v>736</v>
      </c>
      <c r="F128" s="13">
        <v>-2.4961912574709144E-2</v>
      </c>
      <c r="H128" s="18"/>
      <c r="T128" s="18"/>
    </row>
    <row r="129" spans="1:20">
      <c r="A129" s="14">
        <v>127</v>
      </c>
      <c r="B129" s="16" t="s">
        <v>353</v>
      </c>
      <c r="C129" s="16" t="s">
        <v>870</v>
      </c>
      <c r="D129" s="17">
        <v>7.4512624958637677E-4</v>
      </c>
      <c r="E129" s="16" t="s">
        <v>745</v>
      </c>
      <c r="F129" s="13">
        <v>8.1683591740498995E-2</v>
      </c>
      <c r="H129" s="18"/>
      <c r="T129" s="18"/>
    </row>
    <row r="130" spans="1:20">
      <c r="A130" s="14">
        <v>128</v>
      </c>
      <c r="B130" s="16" t="s">
        <v>354</v>
      </c>
      <c r="C130" s="16" t="s">
        <v>871</v>
      </c>
      <c r="D130" s="17">
        <v>6.2830797226132E-4</v>
      </c>
      <c r="E130" s="16" t="s">
        <v>755</v>
      </c>
      <c r="F130" s="13">
        <v>5.0259435059647695E-2</v>
      </c>
      <c r="H130" s="18"/>
      <c r="T130" s="18"/>
    </row>
    <row r="131" spans="1:20">
      <c r="A131" s="14">
        <v>129</v>
      </c>
      <c r="B131" s="16" t="s">
        <v>355</v>
      </c>
      <c r="C131" s="16" t="s">
        <v>872</v>
      </c>
      <c r="D131" s="17">
        <v>2.2548117291821876E-4</v>
      </c>
      <c r="E131" s="16" t="s">
        <v>738</v>
      </c>
      <c r="F131" s="13">
        <v>7.2337087501028741E-2</v>
      </c>
      <c r="H131" s="18"/>
      <c r="T131" s="18"/>
    </row>
    <row r="132" spans="1:20">
      <c r="A132" s="14">
        <v>130</v>
      </c>
      <c r="B132" s="16" t="s">
        <v>356</v>
      </c>
      <c r="C132" s="16" t="s">
        <v>873</v>
      </c>
      <c r="D132" s="17">
        <v>3.3414011654989232E-4</v>
      </c>
      <c r="E132" s="16" t="s">
        <v>800</v>
      </c>
      <c r="F132" s="13">
        <v>8.283569763790477E-2</v>
      </c>
      <c r="H132" s="18"/>
      <c r="T132" s="18"/>
    </row>
    <row r="133" spans="1:20">
      <c r="A133" s="14">
        <v>131</v>
      </c>
      <c r="B133" s="16" t="s">
        <v>357</v>
      </c>
      <c r="C133" s="16" t="s">
        <v>874</v>
      </c>
      <c r="D133" s="17">
        <v>5.9822905802953174E-4</v>
      </c>
      <c r="E133" s="16" t="s">
        <v>740</v>
      </c>
      <c r="F133" s="13">
        <v>0.30641747592503643</v>
      </c>
      <c r="H133" s="18"/>
      <c r="T133" s="18"/>
    </row>
    <row r="134" spans="1:20">
      <c r="A134" s="14">
        <v>132</v>
      </c>
      <c r="B134" s="16" t="s">
        <v>358</v>
      </c>
      <c r="C134" s="16" t="s">
        <v>875</v>
      </c>
      <c r="D134" s="17">
        <v>3.4837616868942572E-4</v>
      </c>
      <c r="E134" s="16" t="s">
        <v>755</v>
      </c>
      <c r="F134" s="13">
        <v>8.8181368774581603E-2</v>
      </c>
      <c r="H134" s="18"/>
      <c r="T134" s="18"/>
    </row>
    <row r="135" spans="1:20">
      <c r="A135" s="14">
        <v>133</v>
      </c>
      <c r="B135" s="16" t="s">
        <v>359</v>
      </c>
      <c r="C135" s="16" t="s">
        <v>876</v>
      </c>
      <c r="D135" s="17">
        <v>4.7738776310475974E-4</v>
      </c>
      <c r="E135" s="16" t="s">
        <v>736</v>
      </c>
      <c r="F135" s="13">
        <v>-0.14173807481756118</v>
      </c>
      <c r="H135" s="18"/>
      <c r="T135" s="18"/>
    </row>
    <row r="136" spans="1:20">
      <c r="A136" s="14">
        <v>134</v>
      </c>
      <c r="B136" s="16" t="s">
        <v>360</v>
      </c>
      <c r="C136" s="16" t="s">
        <v>877</v>
      </c>
      <c r="D136" s="17">
        <v>6.5475806024707867E-4</v>
      </c>
      <c r="E136" s="16" t="s">
        <v>755</v>
      </c>
      <c r="F136" s="13">
        <v>0.14521595774250518</v>
      </c>
      <c r="H136" s="18"/>
      <c r="T136" s="18"/>
    </row>
    <row r="137" spans="1:20">
      <c r="A137" s="14">
        <v>135</v>
      </c>
      <c r="B137" s="16" t="s">
        <v>361</v>
      </c>
      <c r="C137" s="16" t="s">
        <v>878</v>
      </c>
      <c r="D137" s="17">
        <v>3.2012023375854422E-4</v>
      </c>
      <c r="E137" s="16" t="s">
        <v>738</v>
      </c>
      <c r="F137" s="13">
        <v>0.17269721576843811</v>
      </c>
      <c r="H137" s="18"/>
      <c r="T137" s="18"/>
    </row>
    <row r="138" spans="1:20">
      <c r="A138" s="14">
        <v>136</v>
      </c>
      <c r="B138" s="16" t="s">
        <v>362</v>
      </c>
      <c r="C138" s="16" t="s">
        <v>879</v>
      </c>
      <c r="D138" s="17">
        <v>2.081327200095695E-4</v>
      </c>
      <c r="E138" s="16" t="s">
        <v>742</v>
      </c>
      <c r="F138" s="13">
        <v>-0.28545895570024316</v>
      </c>
      <c r="H138" s="18"/>
      <c r="T138" s="18"/>
    </row>
    <row r="139" spans="1:20">
      <c r="A139" s="14">
        <v>137</v>
      </c>
      <c r="B139" s="16" t="s">
        <v>363</v>
      </c>
      <c r="C139" s="16" t="s">
        <v>880</v>
      </c>
      <c r="D139" s="17">
        <v>1.9381334782866571E-3</v>
      </c>
      <c r="E139" s="16" t="s">
        <v>740</v>
      </c>
      <c r="F139" s="13">
        <v>0.84200959268472353</v>
      </c>
      <c r="H139" s="18"/>
      <c r="T139" s="18"/>
    </row>
    <row r="140" spans="1:20">
      <c r="A140" s="14">
        <v>138</v>
      </c>
      <c r="B140" s="16" t="s">
        <v>364</v>
      </c>
      <c r="C140" s="16" t="s">
        <v>881</v>
      </c>
      <c r="D140" s="17">
        <v>7.7756854920255439E-4</v>
      </c>
      <c r="E140" s="16" t="s">
        <v>740</v>
      </c>
      <c r="F140" s="13">
        <v>0.11206772351496719</v>
      </c>
      <c r="H140" s="18"/>
      <c r="T140" s="18"/>
    </row>
    <row r="141" spans="1:20">
      <c r="A141" s="14">
        <v>139</v>
      </c>
      <c r="B141" s="16" t="s">
        <v>365</v>
      </c>
      <c r="C141" s="16" t="s">
        <v>882</v>
      </c>
      <c r="D141" s="17">
        <v>5.0014492616639661E-4</v>
      </c>
      <c r="E141" s="16" t="s">
        <v>761</v>
      </c>
      <c r="F141" s="13">
        <v>0.32070112461660893</v>
      </c>
      <c r="H141" s="18"/>
      <c r="T141" s="18"/>
    </row>
    <row r="142" spans="1:20">
      <c r="A142" s="14">
        <v>140</v>
      </c>
      <c r="B142" s="16" t="s">
        <v>366</v>
      </c>
      <c r="C142" s="16" t="s">
        <v>883</v>
      </c>
      <c r="D142" s="17">
        <v>5.9561776536465707E-4</v>
      </c>
      <c r="E142" s="16" t="s">
        <v>738</v>
      </c>
      <c r="F142" s="13">
        <v>-3.7539231919903049E-3</v>
      </c>
      <c r="H142" s="18"/>
      <c r="T142" s="18"/>
    </row>
    <row r="143" spans="1:20">
      <c r="A143" s="14">
        <v>141</v>
      </c>
      <c r="B143" s="16" t="s">
        <v>367</v>
      </c>
      <c r="C143" s="16" t="s">
        <v>884</v>
      </c>
      <c r="D143" s="17">
        <v>2.5667624341901743E-4</v>
      </c>
      <c r="E143" s="16" t="s">
        <v>755</v>
      </c>
      <c r="F143" s="13">
        <v>5.9911438183689603E-2</v>
      </c>
      <c r="H143" s="18"/>
      <c r="T143" s="18"/>
    </row>
    <row r="144" spans="1:20">
      <c r="A144" s="14">
        <v>142</v>
      </c>
      <c r="B144" s="16" t="s">
        <v>368</v>
      </c>
      <c r="C144" s="16" t="s">
        <v>885</v>
      </c>
      <c r="D144" s="17">
        <v>1.9965596587714939E-4</v>
      </c>
      <c r="E144" s="16" t="s">
        <v>749</v>
      </c>
      <c r="F144" s="13">
        <v>-0.28851299694189614</v>
      </c>
      <c r="H144" s="18"/>
      <c r="T144" s="18"/>
    </row>
    <row r="145" spans="1:20">
      <c r="A145" s="14">
        <v>143</v>
      </c>
      <c r="B145" s="16" t="s">
        <v>369</v>
      </c>
      <c r="C145" s="16" t="s">
        <v>886</v>
      </c>
      <c r="D145" s="17">
        <v>2.1817634957925562E-4</v>
      </c>
      <c r="E145" s="16" t="s">
        <v>742</v>
      </c>
      <c r="F145" s="13">
        <v>-3.6852836016459056E-2</v>
      </c>
      <c r="H145" s="18"/>
      <c r="T145" s="18"/>
    </row>
    <row r="146" spans="1:20">
      <c r="A146" s="14">
        <v>144</v>
      </c>
      <c r="B146" s="16" t="s">
        <v>370</v>
      </c>
      <c r="C146" s="16" t="s">
        <v>887</v>
      </c>
      <c r="D146" s="17">
        <v>1.2934235174503824E-3</v>
      </c>
      <c r="E146" s="16" t="s">
        <v>742</v>
      </c>
      <c r="F146" s="13">
        <v>1.386531740225962</v>
      </c>
      <c r="H146" s="18"/>
      <c r="T146" s="18"/>
    </row>
    <row r="147" spans="1:20">
      <c r="A147" s="14">
        <v>145</v>
      </c>
      <c r="B147" s="16" t="s">
        <v>371</v>
      </c>
      <c r="C147" s="16" t="s">
        <v>888</v>
      </c>
      <c r="D147" s="17">
        <v>4.3960049027074496E-4</v>
      </c>
      <c r="E147" s="16" t="s">
        <v>752</v>
      </c>
      <c r="F147" s="13">
        <v>8.0777985342514569E-2</v>
      </c>
      <c r="H147" s="18"/>
      <c r="T147" s="18"/>
    </row>
    <row r="148" spans="1:20">
      <c r="A148" s="14">
        <v>146</v>
      </c>
      <c r="B148" s="16" t="s">
        <v>372</v>
      </c>
      <c r="C148" s="16" t="s">
        <v>889</v>
      </c>
      <c r="D148" s="17">
        <v>6.4857321771147694E-4</v>
      </c>
      <c r="E148" s="16" t="s">
        <v>749</v>
      </c>
      <c r="F148" s="13">
        <v>-5.3736089030206768E-2</v>
      </c>
      <c r="H148" s="18"/>
      <c r="T148" s="18"/>
    </row>
    <row r="149" spans="1:20">
      <c r="A149" s="14">
        <v>147</v>
      </c>
      <c r="B149" s="16" t="s">
        <v>373</v>
      </c>
      <c r="C149" s="16" t="s">
        <v>890</v>
      </c>
      <c r="D149" s="17">
        <v>9.3750404033445835E-4</v>
      </c>
      <c r="E149" s="16" t="s">
        <v>745</v>
      </c>
      <c r="F149" s="13">
        <v>2.7555002982781795E-2</v>
      </c>
      <c r="H149" s="18"/>
      <c r="T149" s="18"/>
    </row>
    <row r="150" spans="1:20">
      <c r="A150" s="14">
        <v>148</v>
      </c>
      <c r="B150" s="16" t="s">
        <v>374</v>
      </c>
      <c r="C150" s="16" t="s">
        <v>891</v>
      </c>
      <c r="D150" s="17">
        <v>3.1421411005425233E-4</v>
      </c>
      <c r="E150" s="16" t="s">
        <v>738</v>
      </c>
      <c r="F150" s="13">
        <v>3.4566966096540863E-2</v>
      </c>
      <c r="H150" s="18"/>
      <c r="T150" s="18"/>
    </row>
    <row r="151" spans="1:20">
      <c r="A151" s="14">
        <v>149</v>
      </c>
      <c r="B151" s="16" t="s">
        <v>375</v>
      </c>
      <c r="C151" s="16" t="s">
        <v>892</v>
      </c>
      <c r="D151" s="17">
        <v>2.7374911161749732E-3</v>
      </c>
      <c r="E151" s="16" t="s">
        <v>752</v>
      </c>
      <c r="F151" s="13">
        <v>2.6759068724006685E-2</v>
      </c>
      <c r="H151" s="18"/>
      <c r="T151" s="18"/>
    </row>
    <row r="152" spans="1:20">
      <c r="A152" s="14">
        <v>150</v>
      </c>
      <c r="B152" s="16" t="s">
        <v>376</v>
      </c>
      <c r="C152" s="16" t="s">
        <v>893</v>
      </c>
      <c r="D152" s="17">
        <v>1.0132266741249307E-3</v>
      </c>
      <c r="E152" s="16" t="s">
        <v>740</v>
      </c>
      <c r="F152" s="13">
        <v>0.83040895497388845</v>
      </c>
      <c r="H152" s="18"/>
      <c r="T152" s="18"/>
    </row>
    <row r="153" spans="1:20">
      <c r="A153" s="14">
        <v>151</v>
      </c>
      <c r="B153" s="16" t="s">
        <v>377</v>
      </c>
      <c r="C153" s="16" t="s">
        <v>894</v>
      </c>
      <c r="D153" s="17">
        <v>4.128294513922675E-4</v>
      </c>
      <c r="E153" s="16" t="s">
        <v>738</v>
      </c>
      <c r="F153" s="13">
        <v>4.879550498298868E-2</v>
      </c>
      <c r="H153" s="18"/>
      <c r="T153" s="18"/>
    </row>
    <row r="154" spans="1:20">
      <c r="A154" s="14">
        <v>152</v>
      </c>
      <c r="B154" s="16" t="s">
        <v>378</v>
      </c>
      <c r="C154" s="16" t="s">
        <v>895</v>
      </c>
      <c r="D154" s="17">
        <v>1.7184552960271924E-4</v>
      </c>
      <c r="E154" s="16" t="s">
        <v>742</v>
      </c>
      <c r="F154" s="13">
        <v>-0.33670843353162083</v>
      </c>
      <c r="H154" s="18"/>
      <c r="T154" s="18"/>
    </row>
    <row r="155" spans="1:20">
      <c r="A155" s="14">
        <v>153</v>
      </c>
      <c r="B155" s="16" t="s">
        <v>379</v>
      </c>
      <c r="C155" s="16" t="s">
        <v>896</v>
      </c>
      <c r="D155" s="17">
        <v>1.9356718769048074E-3</v>
      </c>
      <c r="E155" s="16" t="s">
        <v>800</v>
      </c>
      <c r="F155" s="13">
        <v>0.30753852601085496</v>
      </c>
      <c r="H155" s="18"/>
      <c r="T155" s="18"/>
    </row>
    <row r="156" spans="1:20">
      <c r="A156" s="14">
        <v>154</v>
      </c>
      <c r="B156" s="16" t="s">
        <v>380</v>
      </c>
      <c r="C156" s="16" t="s">
        <v>897</v>
      </c>
      <c r="D156" s="17">
        <v>3.3753418219588437E-4</v>
      </c>
      <c r="E156" s="16" t="s">
        <v>742</v>
      </c>
      <c r="F156" s="13">
        <v>0.49514865760043691</v>
      </c>
      <c r="H156" s="18"/>
      <c r="T156" s="18"/>
    </row>
    <row r="157" spans="1:20">
      <c r="A157" s="14">
        <v>155</v>
      </c>
      <c r="B157" s="16" t="s">
        <v>381</v>
      </c>
      <c r="C157" s="16" t="s">
        <v>898</v>
      </c>
      <c r="D157" s="17">
        <v>5.0314934704541426E-4</v>
      </c>
      <c r="E157" s="16" t="s">
        <v>738</v>
      </c>
      <c r="F157" s="13">
        <v>4.7740650254383565E-2</v>
      </c>
      <c r="H157" s="18"/>
      <c r="T157" s="18"/>
    </row>
    <row r="158" spans="1:20">
      <c r="A158" s="14">
        <v>156</v>
      </c>
      <c r="B158" s="16" t="s">
        <v>382</v>
      </c>
      <c r="C158" s="16" t="s">
        <v>899</v>
      </c>
      <c r="D158" s="17">
        <v>2.2630531952824666E-4</v>
      </c>
      <c r="E158" s="16" t="s">
        <v>755</v>
      </c>
      <c r="F158" s="13">
        <v>-0.48348302633581985</v>
      </c>
      <c r="H158" s="18"/>
      <c r="T158" s="18"/>
    </row>
    <row r="159" spans="1:20">
      <c r="A159" s="14">
        <v>157</v>
      </c>
      <c r="B159" s="16" t="s">
        <v>383</v>
      </c>
      <c r="C159" s="16" t="s">
        <v>900</v>
      </c>
      <c r="D159" s="17">
        <v>8.4934316958243622E-4</v>
      </c>
      <c r="E159" s="16" t="s">
        <v>781</v>
      </c>
      <c r="F159" s="13">
        <v>0.2504479192686222</v>
      </c>
      <c r="H159" s="18"/>
      <c r="T159" s="18"/>
    </row>
    <row r="160" spans="1:20">
      <c r="A160" s="14">
        <v>158</v>
      </c>
      <c r="B160" s="16" t="s">
        <v>384</v>
      </c>
      <c r="C160" s="16" t="s">
        <v>901</v>
      </c>
      <c r="D160" s="17">
        <v>3.9337341330366232E-4</v>
      </c>
      <c r="E160" s="16" t="s">
        <v>742</v>
      </c>
      <c r="F160" s="13">
        <v>0.28007254117945068</v>
      </c>
      <c r="H160" s="18"/>
      <c r="T160" s="18"/>
    </row>
    <row r="161" spans="1:20">
      <c r="A161" s="14">
        <v>159</v>
      </c>
      <c r="B161" s="16" t="s">
        <v>385</v>
      </c>
      <c r="C161" s="16" t="s">
        <v>902</v>
      </c>
      <c r="D161" s="17">
        <v>4.6404503588635725E-3</v>
      </c>
      <c r="E161" s="16" t="s">
        <v>738</v>
      </c>
      <c r="F161" s="13">
        <v>8.6390681885513132E-2</v>
      </c>
      <c r="H161" s="18"/>
      <c r="T161" s="18"/>
    </row>
    <row r="162" spans="1:20">
      <c r="A162" s="14">
        <v>160</v>
      </c>
      <c r="B162" s="16" t="s">
        <v>386</v>
      </c>
      <c r="C162" s="16" t="s">
        <v>903</v>
      </c>
      <c r="D162" s="17">
        <v>3.2830415687559354E-4</v>
      </c>
      <c r="E162" s="16" t="s">
        <v>742</v>
      </c>
      <c r="F162" s="13">
        <v>0.71844888366627413</v>
      </c>
      <c r="H162" s="18"/>
      <c r="T162" s="18"/>
    </row>
    <row r="163" spans="1:20">
      <c r="A163" s="14">
        <v>161</v>
      </c>
      <c r="B163" s="16" t="s">
        <v>387</v>
      </c>
      <c r="C163" s="16" t="s">
        <v>904</v>
      </c>
      <c r="D163" s="17">
        <v>1.2943867014156391E-4</v>
      </c>
      <c r="E163" s="16" t="s">
        <v>740</v>
      </c>
      <c r="F163" s="13">
        <v>-0.29408391474720408</v>
      </c>
      <c r="H163" s="18"/>
      <c r="T163" s="18"/>
    </row>
    <row r="164" spans="1:20">
      <c r="A164" s="14">
        <v>162</v>
      </c>
      <c r="B164" s="16" t="s">
        <v>388</v>
      </c>
      <c r="C164" s="16" t="s">
        <v>905</v>
      </c>
      <c r="D164" s="17">
        <v>4.7985086432929979E-4</v>
      </c>
      <c r="E164" s="16" t="s">
        <v>755</v>
      </c>
      <c r="F164" s="13">
        <v>0.11156152480129822</v>
      </c>
      <c r="H164" s="18"/>
      <c r="T164" s="18"/>
    </row>
    <row r="165" spans="1:20">
      <c r="A165" s="14">
        <v>163</v>
      </c>
      <c r="B165" s="16" t="s">
        <v>389</v>
      </c>
      <c r="C165" s="16" t="s">
        <v>906</v>
      </c>
      <c r="D165" s="17">
        <v>1.068107853396065E-3</v>
      </c>
      <c r="E165" s="16" t="s">
        <v>738</v>
      </c>
      <c r="F165" s="13">
        <v>-0.10331855704799231</v>
      </c>
      <c r="H165" s="18"/>
      <c r="T165" s="18"/>
    </row>
    <row r="166" spans="1:20">
      <c r="A166" s="14">
        <v>164</v>
      </c>
      <c r="B166" s="16" t="s">
        <v>390</v>
      </c>
      <c r="C166" s="16" t="s">
        <v>907</v>
      </c>
      <c r="D166" s="17">
        <v>1.2748629542959165E-3</v>
      </c>
      <c r="E166" s="16" t="s">
        <v>752</v>
      </c>
      <c r="F166" s="13">
        <v>0.18460867347216259</v>
      </c>
      <c r="H166" s="18"/>
      <c r="T166" s="18"/>
    </row>
    <row r="167" spans="1:20">
      <c r="A167" s="14">
        <v>165</v>
      </c>
      <c r="B167" s="16" t="s">
        <v>391</v>
      </c>
      <c r="C167" s="16" t="s">
        <v>908</v>
      </c>
      <c r="D167" s="17">
        <v>7.2670921818059194E-4</v>
      </c>
      <c r="E167" s="16" t="s">
        <v>745</v>
      </c>
      <c r="F167" s="13">
        <v>4.1379106278984112E-2</v>
      </c>
      <c r="H167" s="18"/>
      <c r="T167" s="18"/>
    </row>
    <row r="168" spans="1:20">
      <c r="A168" s="14">
        <v>166</v>
      </c>
      <c r="B168" s="16" t="s">
        <v>392</v>
      </c>
      <c r="C168" s="16" t="s">
        <v>909</v>
      </c>
      <c r="D168" s="17">
        <v>3.574128127466162E-4</v>
      </c>
      <c r="E168" s="16" t="s">
        <v>736</v>
      </c>
      <c r="F168" s="13">
        <v>0.14566036578025221</v>
      </c>
      <c r="H168" s="18"/>
      <c r="T168" s="18"/>
    </row>
    <row r="169" spans="1:20">
      <c r="A169" s="14">
        <v>167</v>
      </c>
      <c r="B169" s="16" t="s">
        <v>393</v>
      </c>
      <c r="C169" s="16" t="s">
        <v>910</v>
      </c>
      <c r="D169" s="17">
        <v>6.0847981528957423E-4</v>
      </c>
      <c r="E169" s="16" t="s">
        <v>745</v>
      </c>
      <c r="F169" s="13">
        <v>9.1699460107076858E-2</v>
      </c>
      <c r="H169" s="18"/>
      <c r="T169" s="18"/>
    </row>
    <row r="170" spans="1:20">
      <c r="A170" s="14">
        <v>168</v>
      </c>
      <c r="B170" s="16" t="s">
        <v>394</v>
      </c>
      <c r="C170" s="16" t="s">
        <v>911</v>
      </c>
      <c r="D170" s="17">
        <v>1.7860612365311524E-4</v>
      </c>
      <c r="E170" s="16" t="s">
        <v>736</v>
      </c>
      <c r="F170" s="13">
        <v>-2.8726904581118595E-2</v>
      </c>
      <c r="H170" s="18"/>
      <c r="T170" s="18"/>
    </row>
    <row r="171" spans="1:20">
      <c r="A171" s="14">
        <v>169</v>
      </c>
      <c r="B171" s="16" t="s">
        <v>395</v>
      </c>
      <c r="C171" s="16" t="s">
        <v>912</v>
      </c>
      <c r="D171" s="17">
        <v>5.7306570833538583E-5</v>
      </c>
      <c r="E171" s="16" t="s">
        <v>749</v>
      </c>
      <c r="F171" s="13">
        <v>1.4096773770860827E-2</v>
      </c>
      <c r="H171" s="18"/>
      <c r="T171" s="18"/>
    </row>
    <row r="172" spans="1:20">
      <c r="A172" s="14">
        <v>170</v>
      </c>
      <c r="B172" s="16" t="s">
        <v>396</v>
      </c>
      <c r="C172" s="16" t="s">
        <v>913</v>
      </c>
      <c r="D172" s="17">
        <v>1.8261612246867349E-3</v>
      </c>
      <c r="E172" s="16" t="s">
        <v>738</v>
      </c>
      <c r="F172" s="13">
        <v>-0.24086732203206929</v>
      </c>
      <c r="H172" s="18"/>
      <c r="T172" s="18"/>
    </row>
    <row r="173" spans="1:20">
      <c r="A173" s="14">
        <v>171</v>
      </c>
      <c r="B173" s="16" t="s">
        <v>397</v>
      </c>
      <c r="C173" s="16" t="s">
        <v>914</v>
      </c>
      <c r="D173" s="17">
        <v>8.3198211630884677E-4</v>
      </c>
      <c r="E173" s="16" t="s">
        <v>752</v>
      </c>
      <c r="F173" s="13">
        <v>0.34989265589179119</v>
      </c>
      <c r="H173" s="18"/>
      <c r="T173" s="18"/>
    </row>
    <row r="174" spans="1:20">
      <c r="A174" s="14">
        <v>172</v>
      </c>
      <c r="B174" s="16" t="s">
        <v>398</v>
      </c>
      <c r="C174" s="16" t="s">
        <v>915</v>
      </c>
      <c r="D174" s="17">
        <v>2.5864964791445159E-3</v>
      </c>
      <c r="E174" s="16" t="s">
        <v>742</v>
      </c>
      <c r="F174" s="13">
        <v>-0.30303579584646856</v>
      </c>
      <c r="H174" s="18"/>
      <c r="T174" s="18"/>
    </row>
    <row r="175" spans="1:20">
      <c r="A175" s="14">
        <v>173</v>
      </c>
      <c r="B175" s="16" t="s">
        <v>399</v>
      </c>
      <c r="C175" s="16" t="s">
        <v>916</v>
      </c>
      <c r="D175" s="17">
        <v>4.7721724349252372E-4</v>
      </c>
      <c r="E175" s="16" t="s">
        <v>800</v>
      </c>
      <c r="F175" s="13">
        <v>0.48516540544686815</v>
      </c>
      <c r="H175" s="18"/>
      <c r="T175" s="18"/>
    </row>
    <row r="176" spans="1:20">
      <c r="A176" s="14">
        <v>174</v>
      </c>
      <c r="B176" s="16" t="s">
        <v>400</v>
      </c>
      <c r="C176" s="16" t="s">
        <v>917</v>
      </c>
      <c r="D176" s="17">
        <v>2.5342198599857872E-4</v>
      </c>
      <c r="E176" s="16" t="s">
        <v>736</v>
      </c>
      <c r="F176" s="13">
        <v>-3.9538552553736506E-2</v>
      </c>
      <c r="H176" s="18"/>
      <c r="T176" s="18"/>
    </row>
    <row r="177" spans="1:20">
      <c r="A177" s="14">
        <v>175</v>
      </c>
      <c r="B177" s="16" t="s">
        <v>401</v>
      </c>
      <c r="C177" s="16" t="s">
        <v>918</v>
      </c>
      <c r="D177" s="17">
        <v>7.0452175569526738E-4</v>
      </c>
      <c r="E177" s="16" t="s">
        <v>742</v>
      </c>
      <c r="F177" s="13">
        <v>0.41384115825316936</v>
      </c>
      <c r="H177" s="18"/>
      <c r="T177" s="18"/>
    </row>
    <row r="178" spans="1:20">
      <c r="A178" s="14">
        <v>176</v>
      </c>
      <c r="B178" s="16" t="s">
        <v>402</v>
      </c>
      <c r="C178" s="16" t="s">
        <v>919</v>
      </c>
      <c r="D178" s="17">
        <v>2.64939954377464E-4</v>
      </c>
      <c r="E178" s="16" t="s">
        <v>752</v>
      </c>
      <c r="F178" s="13">
        <v>-0.16911965730944511</v>
      </c>
      <c r="H178" s="18"/>
      <c r="T178" s="18"/>
    </row>
    <row r="179" spans="1:20">
      <c r="A179" s="14">
        <v>177</v>
      </c>
      <c r="B179" s="16" t="s">
        <v>403</v>
      </c>
      <c r="C179" s="16" t="s">
        <v>920</v>
      </c>
      <c r="D179" s="17">
        <v>1.0916260097978692E-3</v>
      </c>
      <c r="E179" s="16" t="s">
        <v>752</v>
      </c>
      <c r="F179" s="13">
        <v>-4.4272825419524597E-2</v>
      </c>
      <c r="H179" s="18"/>
      <c r="T179" s="18"/>
    </row>
    <row r="180" spans="1:20">
      <c r="A180" s="14">
        <v>178</v>
      </c>
      <c r="B180" s="16" t="s">
        <v>404</v>
      </c>
      <c r="C180" s="16" t="s">
        <v>921</v>
      </c>
      <c r="D180" s="17">
        <v>7.3023807252673364E-3</v>
      </c>
      <c r="E180" s="16" t="s">
        <v>800</v>
      </c>
      <c r="F180" s="13">
        <v>0.2328037188573191</v>
      </c>
      <c r="H180" s="18"/>
      <c r="T180" s="18"/>
    </row>
    <row r="181" spans="1:20">
      <c r="A181" s="14">
        <v>179</v>
      </c>
      <c r="B181" s="16" t="s">
        <v>405</v>
      </c>
      <c r="C181" s="16" t="s">
        <v>922</v>
      </c>
      <c r="D181" s="17">
        <v>1.51033453392981E-3</v>
      </c>
      <c r="E181" s="16" t="s">
        <v>742</v>
      </c>
      <c r="F181" s="13">
        <v>4.904042296323996E-2</v>
      </c>
      <c r="H181" s="18"/>
      <c r="T181" s="18"/>
    </row>
    <row r="182" spans="1:20">
      <c r="A182" s="14">
        <v>180</v>
      </c>
      <c r="B182" s="16" t="s">
        <v>406</v>
      </c>
      <c r="C182" s="16" t="s">
        <v>923</v>
      </c>
      <c r="D182" s="17">
        <v>1.139160249783971E-3</v>
      </c>
      <c r="E182" s="16" t="s">
        <v>740</v>
      </c>
      <c r="F182" s="13">
        <v>3.321985536406169E-3</v>
      </c>
      <c r="H182" s="18"/>
      <c r="T182" s="18"/>
    </row>
    <row r="183" spans="1:20">
      <c r="A183" s="14">
        <v>181</v>
      </c>
      <c r="B183" s="16" t="s">
        <v>407</v>
      </c>
      <c r="C183" s="16" t="s">
        <v>924</v>
      </c>
      <c r="D183" s="17">
        <v>6.3423693997111499E-4</v>
      </c>
      <c r="E183" s="16" t="s">
        <v>738</v>
      </c>
      <c r="F183" s="13">
        <v>-6.1717967174086175E-2</v>
      </c>
      <c r="H183" s="18"/>
      <c r="T183" s="18"/>
    </row>
    <row r="184" spans="1:20">
      <c r="A184" s="14">
        <v>182</v>
      </c>
      <c r="B184" s="16" t="s">
        <v>408</v>
      </c>
      <c r="C184" s="16" t="s">
        <v>925</v>
      </c>
      <c r="D184" s="17">
        <v>5.0576698289192458E-4</v>
      </c>
      <c r="E184" s="16" t="s">
        <v>738</v>
      </c>
      <c r="F184" s="13">
        <v>-8.394788333305514E-2</v>
      </c>
      <c r="H184" s="18"/>
      <c r="T184" s="18"/>
    </row>
    <row r="185" spans="1:20">
      <c r="A185" s="14">
        <v>183</v>
      </c>
      <c r="B185" s="16" t="s">
        <v>409</v>
      </c>
      <c r="C185" s="16" t="s">
        <v>926</v>
      </c>
      <c r="D185" s="17">
        <v>1.1148528673594457E-3</v>
      </c>
      <c r="E185" s="16" t="s">
        <v>761</v>
      </c>
      <c r="F185" s="13">
        <v>-5.4310179183441276E-2</v>
      </c>
      <c r="H185" s="18"/>
      <c r="T185" s="18"/>
    </row>
    <row r="186" spans="1:20">
      <c r="A186" s="14">
        <v>184</v>
      </c>
      <c r="B186" s="16" t="s">
        <v>410</v>
      </c>
      <c r="C186" s="16" t="s">
        <v>927</v>
      </c>
      <c r="D186" s="17">
        <v>4.8730567667949025E-2</v>
      </c>
      <c r="E186" s="16" t="s">
        <v>742</v>
      </c>
      <c r="F186" s="13">
        <v>-0.10990994017711209</v>
      </c>
      <c r="H186" s="18"/>
      <c r="T186" s="18"/>
    </row>
    <row r="187" spans="1:20">
      <c r="A187" s="14">
        <v>185</v>
      </c>
      <c r="B187" s="16" t="s">
        <v>411</v>
      </c>
      <c r="C187" s="16" t="s">
        <v>928</v>
      </c>
      <c r="D187" s="17">
        <v>3.5493273201890987E-4</v>
      </c>
      <c r="E187" s="16" t="s">
        <v>738</v>
      </c>
      <c r="F187" s="13">
        <v>-0.32947531539047881</v>
      </c>
      <c r="H187" s="18"/>
      <c r="T187" s="18"/>
    </row>
    <row r="188" spans="1:20">
      <c r="A188" s="14">
        <v>186</v>
      </c>
      <c r="B188" s="16" t="s">
        <v>412</v>
      </c>
      <c r="C188" s="16" t="s">
        <v>929</v>
      </c>
      <c r="D188" s="17">
        <v>9.1816162509386807E-4</v>
      </c>
      <c r="E188" s="16" t="s">
        <v>740</v>
      </c>
      <c r="F188" s="13">
        <v>0.107908889041197</v>
      </c>
      <c r="H188" s="18"/>
      <c r="T188" s="18"/>
    </row>
    <row r="189" spans="1:20">
      <c r="A189" s="14">
        <v>187</v>
      </c>
      <c r="B189" s="16" t="s">
        <v>413</v>
      </c>
      <c r="C189" s="16" t="s">
        <v>930</v>
      </c>
      <c r="D189" s="17">
        <v>1.1673437240641794E-4</v>
      </c>
      <c r="E189" s="16" t="s">
        <v>755</v>
      </c>
      <c r="F189" s="13">
        <v>-7.7153339843430979E-3</v>
      </c>
      <c r="H189" s="18"/>
      <c r="T189" s="18"/>
    </row>
    <row r="190" spans="1:20">
      <c r="A190" s="14">
        <v>188</v>
      </c>
      <c r="B190" s="16" t="s">
        <v>414</v>
      </c>
      <c r="C190" s="16" t="s">
        <v>931</v>
      </c>
      <c r="D190" s="17">
        <v>3.6980879842452041E-4</v>
      </c>
      <c r="E190" s="16" t="s">
        <v>745</v>
      </c>
      <c r="F190" s="13">
        <v>2.534430733123938E-2</v>
      </c>
      <c r="H190" s="18"/>
      <c r="T190" s="18"/>
    </row>
    <row r="191" spans="1:20">
      <c r="A191" s="14">
        <v>189</v>
      </c>
      <c r="B191" s="16" t="s">
        <v>415</v>
      </c>
      <c r="C191" s="16" t="s">
        <v>932</v>
      </c>
      <c r="D191" s="17">
        <v>3.3231897893471531E-4</v>
      </c>
      <c r="E191" s="16" t="s">
        <v>736</v>
      </c>
      <c r="F191" s="13">
        <v>0.12505391832690127</v>
      </c>
      <c r="H191" s="18"/>
      <c r="T191" s="18"/>
    </row>
    <row r="192" spans="1:20">
      <c r="A192" s="14">
        <v>190</v>
      </c>
      <c r="B192" s="16" t="s">
        <v>416</v>
      </c>
      <c r="C192" s="16" t="s">
        <v>933</v>
      </c>
      <c r="D192" s="17">
        <v>2.4458003758843529E-3</v>
      </c>
      <c r="E192" s="16" t="s">
        <v>736</v>
      </c>
      <c r="F192" s="13">
        <v>-0.21740987223744634</v>
      </c>
      <c r="H192" s="18"/>
      <c r="T192" s="18"/>
    </row>
    <row r="193" spans="1:20">
      <c r="A193" s="14">
        <v>191</v>
      </c>
      <c r="B193" s="16" t="s">
        <v>417</v>
      </c>
      <c r="C193" s="16" t="s">
        <v>934</v>
      </c>
      <c r="D193" s="17">
        <v>6.7269835162334925E-4</v>
      </c>
      <c r="E193" s="16" t="s">
        <v>752</v>
      </c>
      <c r="F193" s="13">
        <v>3.0158992003904039E-2</v>
      </c>
      <c r="H193" s="18"/>
      <c r="T193" s="18"/>
    </row>
    <row r="194" spans="1:20">
      <c r="A194" s="14">
        <v>192</v>
      </c>
      <c r="B194" s="16" t="s">
        <v>418</v>
      </c>
      <c r="C194" s="16" t="s">
        <v>935</v>
      </c>
      <c r="D194" s="17">
        <v>6.1119497996791499E-4</v>
      </c>
      <c r="E194" s="16" t="s">
        <v>781</v>
      </c>
      <c r="F194" s="13">
        <v>0.33424566626614038</v>
      </c>
      <c r="H194" s="18"/>
      <c r="T194" s="18"/>
    </row>
    <row r="195" spans="1:20">
      <c r="A195" s="14">
        <v>193</v>
      </c>
      <c r="B195" s="16" t="s">
        <v>419</v>
      </c>
      <c r="C195" s="16" t="s">
        <v>936</v>
      </c>
      <c r="D195" s="17">
        <v>6.1653363986048496E-4</v>
      </c>
      <c r="E195" s="16" t="s">
        <v>752</v>
      </c>
      <c r="F195" s="13">
        <v>0.18901465329556988</v>
      </c>
      <c r="H195" s="18"/>
      <c r="T195" s="18"/>
    </row>
    <row r="196" spans="1:20">
      <c r="A196" s="14">
        <v>194</v>
      </c>
      <c r="B196" s="16" t="s">
        <v>420</v>
      </c>
      <c r="C196" s="16" t="s">
        <v>937</v>
      </c>
      <c r="D196" s="17">
        <v>7.1398386903403566E-4</v>
      </c>
      <c r="E196" s="16" t="s">
        <v>749</v>
      </c>
      <c r="F196" s="13">
        <v>-1.1497008343973159E-2</v>
      </c>
      <c r="H196" s="18"/>
      <c r="T196" s="18"/>
    </row>
    <row r="197" spans="1:20">
      <c r="A197" s="14">
        <v>195</v>
      </c>
      <c r="B197" s="16" t="s">
        <v>421</v>
      </c>
      <c r="C197" s="16" t="s">
        <v>938</v>
      </c>
      <c r="D197" s="17">
        <v>1.0878327648168038E-3</v>
      </c>
      <c r="E197" s="16" t="s">
        <v>738</v>
      </c>
      <c r="F197" s="13">
        <v>-5.374801468043966E-2</v>
      </c>
      <c r="H197" s="18"/>
      <c r="T197" s="18"/>
    </row>
    <row r="198" spans="1:20">
      <c r="A198" s="14">
        <v>196</v>
      </c>
      <c r="B198" s="16" t="s">
        <v>422</v>
      </c>
      <c r="C198" s="16" t="s">
        <v>939</v>
      </c>
      <c r="D198" s="17">
        <v>3.1219240629496028E-4</v>
      </c>
      <c r="E198" s="16" t="s">
        <v>740</v>
      </c>
      <c r="F198" s="13">
        <v>-7.9874927332549417E-3</v>
      </c>
      <c r="H198" s="18"/>
      <c r="T198" s="18"/>
    </row>
    <row r="199" spans="1:20">
      <c r="A199" s="14">
        <v>197</v>
      </c>
      <c r="B199" s="16" t="s">
        <v>423</v>
      </c>
      <c r="C199" s="16" t="s">
        <v>940</v>
      </c>
      <c r="D199" s="17">
        <v>4.091414784941773E-4</v>
      </c>
      <c r="E199" s="16" t="s">
        <v>755</v>
      </c>
      <c r="F199" s="13">
        <v>3.1229047812099564E-2</v>
      </c>
      <c r="H199" s="18"/>
      <c r="T199" s="18"/>
    </row>
    <row r="200" spans="1:20">
      <c r="A200" s="14">
        <v>198</v>
      </c>
      <c r="B200" s="16" t="s">
        <v>424</v>
      </c>
      <c r="C200" s="16" t="s">
        <v>941</v>
      </c>
      <c r="D200" s="17">
        <v>1.9375886002117728E-4</v>
      </c>
      <c r="E200" s="16" t="s">
        <v>738</v>
      </c>
      <c r="F200" s="13">
        <v>0.13613462943808874</v>
      </c>
      <c r="H200" s="18"/>
      <c r="T200" s="18"/>
    </row>
    <row r="201" spans="1:20">
      <c r="A201" s="14">
        <v>199</v>
      </c>
      <c r="B201" s="16" t="s">
        <v>425</v>
      </c>
      <c r="C201" s="16" t="s">
        <v>942</v>
      </c>
      <c r="D201" s="17">
        <v>4.224795474127465E-4</v>
      </c>
      <c r="E201" s="16" t="s">
        <v>736</v>
      </c>
      <c r="F201" s="13">
        <v>0.38271900430828154</v>
      </c>
      <c r="H201" s="18"/>
      <c r="T201" s="18"/>
    </row>
    <row r="202" spans="1:20">
      <c r="A202" s="14">
        <v>200</v>
      </c>
      <c r="B202" s="16" t="s">
        <v>426</v>
      </c>
      <c r="C202" s="16" t="s">
        <v>943</v>
      </c>
      <c r="D202" s="17">
        <v>1.8565175803377403E-3</v>
      </c>
      <c r="E202" s="16" t="s">
        <v>752</v>
      </c>
      <c r="F202" s="13">
        <v>0.25552891874402439</v>
      </c>
      <c r="H202" s="18"/>
      <c r="T202" s="18"/>
    </row>
    <row r="203" spans="1:20">
      <c r="A203" s="14">
        <v>201</v>
      </c>
      <c r="B203" s="16" t="s">
        <v>427</v>
      </c>
      <c r="C203" s="16" t="s">
        <v>944</v>
      </c>
      <c r="D203" s="17">
        <v>2.6912281549414536E-4</v>
      </c>
      <c r="E203" s="16" t="s">
        <v>738</v>
      </c>
      <c r="F203" s="13">
        <v>-0.24213772752759621</v>
      </c>
      <c r="H203" s="18"/>
      <c r="T203" s="18"/>
    </row>
    <row r="204" spans="1:20">
      <c r="A204" s="14">
        <v>202</v>
      </c>
      <c r="B204" s="16" t="s">
        <v>428</v>
      </c>
      <c r="C204" s="16" t="s">
        <v>945</v>
      </c>
      <c r="D204" s="17">
        <v>1.9138597560702024E-4</v>
      </c>
      <c r="E204" s="16" t="s">
        <v>740</v>
      </c>
      <c r="F204" s="13">
        <v>-0.29043282674997262</v>
      </c>
      <c r="H204" s="18"/>
      <c r="T204" s="18"/>
    </row>
    <row r="205" spans="1:20">
      <c r="A205" s="14">
        <v>203</v>
      </c>
      <c r="B205" s="16" t="s">
        <v>429</v>
      </c>
      <c r="C205" s="16" t="s">
        <v>946</v>
      </c>
      <c r="D205" s="17">
        <v>6.0665143817616705E-4</v>
      </c>
      <c r="E205" s="16" t="s">
        <v>752</v>
      </c>
      <c r="F205" s="13">
        <v>-4.9697310779134307E-3</v>
      </c>
      <c r="H205" s="18"/>
      <c r="T205" s="18"/>
    </row>
    <row r="206" spans="1:20">
      <c r="A206" s="14">
        <v>204</v>
      </c>
      <c r="B206" s="16" t="s">
        <v>430</v>
      </c>
      <c r="C206" s="16" t="s">
        <v>947</v>
      </c>
      <c r="D206" s="17">
        <v>5.9104040490323773E-3</v>
      </c>
      <c r="E206" s="16" t="s">
        <v>742</v>
      </c>
      <c r="F206" s="13">
        <v>0.63510430804486395</v>
      </c>
      <c r="H206" s="18"/>
      <c r="T206" s="18"/>
    </row>
    <row r="207" spans="1:20">
      <c r="A207" s="14">
        <v>205</v>
      </c>
      <c r="B207" s="16" t="s">
        <v>431</v>
      </c>
      <c r="C207" s="16" t="s">
        <v>948</v>
      </c>
      <c r="D207" s="17">
        <v>3.0613843462237657E-4</v>
      </c>
      <c r="E207" s="16" t="s">
        <v>740</v>
      </c>
      <c r="F207" s="13">
        <v>0.32238103170062993</v>
      </c>
      <c r="H207" s="18"/>
      <c r="T207" s="18"/>
    </row>
    <row r="208" spans="1:20">
      <c r="A208" s="14">
        <v>206</v>
      </c>
      <c r="B208" s="16" t="s">
        <v>432</v>
      </c>
      <c r="C208" s="16" t="s">
        <v>949</v>
      </c>
      <c r="D208" s="17">
        <v>2.5348341500125195E-3</v>
      </c>
      <c r="E208" s="16" t="s">
        <v>736</v>
      </c>
      <c r="F208" s="13">
        <v>7.9260287007089092E-2</v>
      </c>
      <c r="H208" s="18"/>
      <c r="T208" s="18"/>
    </row>
    <row r="209" spans="1:20">
      <c r="A209" s="14">
        <v>207</v>
      </c>
      <c r="B209" s="16" t="s">
        <v>433</v>
      </c>
      <c r="C209" s="16" t="s">
        <v>950</v>
      </c>
      <c r="D209" s="17">
        <v>9.3549076162274683E-4</v>
      </c>
      <c r="E209" s="16" t="s">
        <v>752</v>
      </c>
      <c r="F209" s="13">
        <v>-0.27535374675826907</v>
      </c>
      <c r="H209" s="18"/>
      <c r="T209" s="18"/>
    </row>
    <row r="210" spans="1:20">
      <c r="A210" s="14">
        <v>208</v>
      </c>
      <c r="B210" s="16" t="s">
        <v>434</v>
      </c>
      <c r="C210" s="16" t="s">
        <v>951</v>
      </c>
      <c r="D210" s="17">
        <v>1.3484934800517285E-3</v>
      </c>
      <c r="E210" s="16" t="s">
        <v>755</v>
      </c>
      <c r="F210" s="13">
        <v>6.2041087195847E-2</v>
      </c>
      <c r="H210" s="18"/>
      <c r="T210" s="18"/>
    </row>
    <row r="211" spans="1:20">
      <c r="A211" s="14">
        <v>209</v>
      </c>
      <c r="B211" s="16" t="s">
        <v>435</v>
      </c>
      <c r="C211" s="16" t="s">
        <v>952</v>
      </c>
      <c r="D211" s="17">
        <v>6.938898261784651E-4</v>
      </c>
      <c r="E211" s="16" t="s">
        <v>738</v>
      </c>
      <c r="F211" s="13">
        <v>3.9263169206479986E-2</v>
      </c>
      <c r="H211" s="18"/>
      <c r="T211" s="18"/>
    </row>
    <row r="212" spans="1:20">
      <c r="A212" s="14">
        <v>210</v>
      </c>
      <c r="B212" s="16" t="s">
        <v>436</v>
      </c>
      <c r="C212" s="16" t="s">
        <v>953</v>
      </c>
      <c r="D212" s="17">
        <v>2.3120964838851069E-3</v>
      </c>
      <c r="E212" s="16" t="s">
        <v>781</v>
      </c>
      <c r="F212" s="13">
        <v>0.26524551067356139</v>
      </c>
      <c r="H212" s="18"/>
      <c r="T212" s="18"/>
    </row>
    <row r="213" spans="1:20">
      <c r="A213" s="14">
        <v>211</v>
      </c>
      <c r="B213" s="16" t="s">
        <v>437</v>
      </c>
      <c r="C213" s="16" t="s">
        <v>954</v>
      </c>
      <c r="D213" s="17">
        <v>5.3119800480079691E-3</v>
      </c>
      <c r="E213" s="16" t="s">
        <v>742</v>
      </c>
      <c r="F213" s="13">
        <v>0.59341769584919324</v>
      </c>
      <c r="H213" s="18"/>
      <c r="T213" s="18"/>
    </row>
    <row r="214" spans="1:20">
      <c r="A214" s="14">
        <v>212</v>
      </c>
      <c r="B214" s="16" t="s">
        <v>438</v>
      </c>
      <c r="C214" s="16" t="s">
        <v>955</v>
      </c>
      <c r="D214" s="17">
        <v>7.3793788979010719E-4</v>
      </c>
      <c r="E214" s="16" t="s">
        <v>736</v>
      </c>
      <c r="F214" s="13">
        <v>-2.2490684749343903E-2</v>
      </c>
      <c r="H214" s="18"/>
      <c r="T214" s="18"/>
    </row>
    <row r="215" spans="1:20">
      <c r="A215" s="14">
        <v>213</v>
      </c>
      <c r="B215" s="16" t="s">
        <v>439</v>
      </c>
      <c r="C215" s="16" t="s">
        <v>956</v>
      </c>
      <c r="D215" s="17">
        <v>2.9558307368500735E-4</v>
      </c>
      <c r="E215" s="16" t="s">
        <v>800</v>
      </c>
      <c r="F215" s="13">
        <v>0.15423180727904962</v>
      </c>
      <c r="H215" s="18"/>
      <c r="T215" s="18"/>
    </row>
    <row r="216" spans="1:20">
      <c r="A216" s="14">
        <v>214</v>
      </c>
      <c r="B216" s="16" t="s">
        <v>440</v>
      </c>
      <c r="C216" s="16" t="s">
        <v>957</v>
      </c>
      <c r="D216" s="17">
        <v>1.0420646173108223E-3</v>
      </c>
      <c r="E216" s="16" t="s">
        <v>755</v>
      </c>
      <c r="F216" s="13">
        <v>0.12652582942138646</v>
      </c>
      <c r="H216" s="18"/>
      <c r="T216" s="18"/>
    </row>
    <row r="217" spans="1:20">
      <c r="A217" s="14">
        <v>215</v>
      </c>
      <c r="B217" s="16" t="s">
        <v>441</v>
      </c>
      <c r="C217" s="16" t="s">
        <v>958</v>
      </c>
      <c r="D217" s="17">
        <v>3.0374654720954691E-4</v>
      </c>
      <c r="E217" s="16" t="s">
        <v>800</v>
      </c>
      <c r="F217" s="13">
        <v>-0.25850231485926167</v>
      </c>
      <c r="H217" s="18"/>
      <c r="T217" s="18"/>
    </row>
    <row r="218" spans="1:20">
      <c r="A218" s="14">
        <v>216</v>
      </c>
      <c r="B218" s="16" t="s">
        <v>442</v>
      </c>
      <c r="C218" s="16" t="s">
        <v>959</v>
      </c>
      <c r="D218" s="17">
        <v>8.7162181550251121E-3</v>
      </c>
      <c r="E218" s="16" t="s">
        <v>742</v>
      </c>
      <c r="F218" s="13">
        <v>2.009141696292533</v>
      </c>
      <c r="H218" s="18"/>
      <c r="T218" s="18"/>
    </row>
    <row r="219" spans="1:20">
      <c r="A219" s="14">
        <v>217</v>
      </c>
      <c r="B219" s="16" t="s">
        <v>443</v>
      </c>
      <c r="C219" s="16" t="s">
        <v>960</v>
      </c>
      <c r="D219" s="17">
        <v>3.8301400821012804E-4</v>
      </c>
      <c r="E219" s="16" t="s">
        <v>738</v>
      </c>
      <c r="F219" s="13">
        <v>-0.20592524004712431</v>
      </c>
      <c r="H219" s="18"/>
      <c r="T219" s="18"/>
    </row>
    <row r="220" spans="1:20">
      <c r="A220" s="14">
        <v>218</v>
      </c>
      <c r="B220" s="16" t="s">
        <v>444</v>
      </c>
      <c r="C220" s="16" t="s">
        <v>961</v>
      </c>
      <c r="D220" s="17">
        <v>1.1144638923603486E-4</v>
      </c>
      <c r="E220" s="16" t="s">
        <v>800</v>
      </c>
      <c r="F220" s="13">
        <v>-9.3508406250226161E-2</v>
      </c>
      <c r="H220" s="18"/>
      <c r="T220" s="18"/>
    </row>
    <row r="221" spans="1:20">
      <c r="A221" s="14">
        <v>219</v>
      </c>
      <c r="B221" s="16" t="s">
        <v>445</v>
      </c>
      <c r="C221" s="16" t="s">
        <v>962</v>
      </c>
      <c r="D221" s="17">
        <v>2.6432255738572403E-3</v>
      </c>
      <c r="E221" s="16" t="s">
        <v>736</v>
      </c>
      <c r="F221" s="13">
        <v>-0.2408148079514153</v>
      </c>
      <c r="H221" s="18"/>
      <c r="T221" s="18"/>
    </row>
    <row r="222" spans="1:20">
      <c r="A222" s="14">
        <v>220</v>
      </c>
      <c r="B222" s="16" t="s">
        <v>446</v>
      </c>
      <c r="C222" s="16" t="s">
        <v>963</v>
      </c>
      <c r="D222" s="17">
        <v>1.8480845766800545E-4</v>
      </c>
      <c r="E222" s="16" t="s">
        <v>742</v>
      </c>
      <c r="F222" s="13">
        <v>-2.4325412807087776E-2</v>
      </c>
      <c r="H222" s="18"/>
      <c r="T222" s="18"/>
    </row>
    <row r="223" spans="1:20">
      <c r="A223" s="14">
        <v>221</v>
      </c>
      <c r="B223" s="16" t="s">
        <v>447</v>
      </c>
      <c r="C223" s="16" t="s">
        <v>964</v>
      </c>
      <c r="D223" s="17">
        <v>8.9056975888811637E-5</v>
      </c>
      <c r="E223" s="16" t="s">
        <v>738</v>
      </c>
      <c r="F223" s="13">
        <v>-0.18213769523288159</v>
      </c>
      <c r="H223" s="18"/>
      <c r="T223" s="18"/>
    </row>
    <row r="224" spans="1:20">
      <c r="A224" s="14">
        <v>222</v>
      </c>
      <c r="B224" s="16" t="s">
        <v>448</v>
      </c>
      <c r="C224" s="16" t="s">
        <v>965</v>
      </c>
      <c r="D224" s="17">
        <v>2.7774520371450216E-3</v>
      </c>
      <c r="E224" s="16" t="s">
        <v>749</v>
      </c>
      <c r="F224" s="13">
        <v>5.4766409330827104E-2</v>
      </c>
      <c r="H224" s="18"/>
      <c r="T224" s="18"/>
    </row>
    <row r="225" spans="1:20">
      <c r="A225" s="14">
        <v>223</v>
      </c>
      <c r="B225" s="16" t="s">
        <v>449</v>
      </c>
      <c r="C225" s="16" t="s">
        <v>966</v>
      </c>
      <c r="D225" s="17">
        <v>7.3108913089980857E-3</v>
      </c>
      <c r="E225" s="16" t="s">
        <v>742</v>
      </c>
      <c r="F225" s="13">
        <v>0.562707075403307</v>
      </c>
      <c r="H225" s="18"/>
      <c r="T225" s="18"/>
    </row>
    <row r="226" spans="1:20">
      <c r="A226" s="14">
        <v>224</v>
      </c>
      <c r="B226" s="16" t="s">
        <v>450</v>
      </c>
      <c r="C226" s="16" t="s">
        <v>967</v>
      </c>
      <c r="D226" s="17">
        <v>1.3873946336980818E-4</v>
      </c>
      <c r="E226" s="16" t="s">
        <v>755</v>
      </c>
      <c r="F226" s="13">
        <v>-0.10143022815124914</v>
      </c>
      <c r="H226" s="18"/>
      <c r="T226" s="18"/>
    </row>
    <row r="227" spans="1:20">
      <c r="A227" s="14">
        <v>225</v>
      </c>
      <c r="B227" s="16" t="s">
        <v>451</v>
      </c>
      <c r="C227" s="16" t="s">
        <v>968</v>
      </c>
      <c r="D227" s="17">
        <v>7.2483376842961923E-4</v>
      </c>
      <c r="E227" s="16" t="s">
        <v>738</v>
      </c>
      <c r="F227" s="13">
        <v>6.5263214579060369E-2</v>
      </c>
      <c r="H227" s="18"/>
      <c r="T227" s="18"/>
    </row>
    <row r="228" spans="1:20">
      <c r="A228" s="14">
        <v>226</v>
      </c>
      <c r="B228" s="16" t="s">
        <v>452</v>
      </c>
      <c r="C228" s="16" t="s">
        <v>969</v>
      </c>
      <c r="D228" s="17">
        <v>9.1623656899302497E-4</v>
      </c>
      <c r="E228" s="16" t="s">
        <v>740</v>
      </c>
      <c r="F228" s="13">
        <v>-6.3052456739205343E-2</v>
      </c>
      <c r="H228" s="18"/>
      <c r="T228" s="18"/>
    </row>
    <row r="229" spans="1:20">
      <c r="A229" s="14">
        <v>227</v>
      </c>
      <c r="B229" s="16" t="s">
        <v>453</v>
      </c>
      <c r="C229" s="16" t="s">
        <v>970</v>
      </c>
      <c r="D229" s="17">
        <v>4.3725433633765525E-4</v>
      </c>
      <c r="E229" s="16" t="s">
        <v>736</v>
      </c>
      <c r="F229" s="13">
        <v>6.5515690023618678E-2</v>
      </c>
      <c r="H229" s="18"/>
      <c r="T229" s="18"/>
    </row>
    <row r="230" spans="1:20">
      <c r="A230" s="14">
        <v>228</v>
      </c>
      <c r="B230" s="16" t="s">
        <v>454</v>
      </c>
      <c r="C230" s="16" t="s">
        <v>971</v>
      </c>
      <c r="D230" s="17">
        <v>7.9597891437584362E-4</v>
      </c>
      <c r="E230" s="16" t="s">
        <v>742</v>
      </c>
      <c r="F230" s="13">
        <v>-0.16231297736546524</v>
      </c>
      <c r="H230" s="18"/>
      <c r="T230" s="18"/>
    </row>
    <row r="231" spans="1:20">
      <c r="A231" s="14">
        <v>229</v>
      </c>
      <c r="B231" s="16" t="s">
        <v>455</v>
      </c>
      <c r="C231" s="16" t="s">
        <v>972</v>
      </c>
      <c r="D231" s="17">
        <v>1.6577970837923392E-4</v>
      </c>
      <c r="E231" s="16" t="s">
        <v>745</v>
      </c>
      <c r="F231" s="13">
        <v>1.5492987176772166E-2</v>
      </c>
      <c r="H231" s="18"/>
      <c r="T231" s="18"/>
    </row>
    <row r="232" spans="1:20">
      <c r="A232" s="14">
        <v>230</v>
      </c>
      <c r="B232" s="16" t="s">
        <v>456</v>
      </c>
      <c r="C232" s="16" t="s">
        <v>973</v>
      </c>
      <c r="D232" s="17">
        <v>8.0875540676500642E-4</v>
      </c>
      <c r="E232" s="16" t="s">
        <v>736</v>
      </c>
      <c r="F232" s="13">
        <v>-0.21356152221359881</v>
      </c>
      <c r="H232" s="18"/>
      <c r="T232" s="18"/>
    </row>
    <row r="233" spans="1:20">
      <c r="A233" s="14">
        <v>231</v>
      </c>
      <c r="B233" s="16" t="s">
        <v>457</v>
      </c>
      <c r="C233" s="16" t="s">
        <v>974</v>
      </c>
      <c r="D233" s="17">
        <v>2.7577444836904784E-4</v>
      </c>
      <c r="E233" s="16" t="s">
        <v>800</v>
      </c>
      <c r="F233" s="13">
        <v>-0.2505090054815976</v>
      </c>
      <c r="H233" s="18"/>
      <c r="T233" s="18"/>
    </row>
    <row r="234" spans="1:20">
      <c r="A234" s="14">
        <v>232</v>
      </c>
      <c r="B234" s="16" t="s">
        <v>458</v>
      </c>
      <c r="C234" s="16" t="s">
        <v>975</v>
      </c>
      <c r="D234" s="17">
        <v>1.568136191042651E-3</v>
      </c>
      <c r="E234" s="16" t="s">
        <v>742</v>
      </c>
      <c r="F234" s="13">
        <v>-0.26762676267626762</v>
      </c>
      <c r="H234" s="18"/>
      <c r="T234" s="18"/>
    </row>
    <row r="235" spans="1:20">
      <c r="A235" s="14">
        <v>233</v>
      </c>
      <c r="B235" s="16" t="s">
        <v>459</v>
      </c>
      <c r="C235" s="16" t="s">
        <v>976</v>
      </c>
      <c r="D235" s="17">
        <v>4.1262164733982948E-4</v>
      </c>
      <c r="E235" s="16" t="s">
        <v>749</v>
      </c>
      <c r="F235" s="13">
        <v>0.14224760856100871</v>
      </c>
      <c r="H235" s="18"/>
      <c r="T235" s="18"/>
    </row>
    <row r="236" spans="1:20">
      <c r="A236" s="14">
        <v>234</v>
      </c>
      <c r="B236" s="16" t="s">
        <v>460</v>
      </c>
      <c r="C236" s="16" t="s">
        <v>977</v>
      </c>
      <c r="D236" s="17">
        <v>2.0875122710826898E-4</v>
      </c>
      <c r="E236" s="16" t="s">
        <v>742</v>
      </c>
      <c r="F236" s="13">
        <v>-0.29160452469999676</v>
      </c>
      <c r="H236" s="18"/>
      <c r="T236" s="18"/>
    </row>
    <row r="237" spans="1:20">
      <c r="A237" s="14">
        <v>235</v>
      </c>
      <c r="B237" s="16" t="s">
        <v>461</v>
      </c>
      <c r="C237" s="16" t="s">
        <v>978</v>
      </c>
      <c r="D237" s="17">
        <v>8.890264863241833E-4</v>
      </c>
      <c r="E237" s="16" t="s">
        <v>752</v>
      </c>
      <c r="F237" s="13">
        <v>9.3226073227574702E-3</v>
      </c>
      <c r="H237" s="18"/>
      <c r="T237" s="18"/>
    </row>
    <row r="238" spans="1:20">
      <c r="A238" s="14">
        <v>236</v>
      </c>
      <c r="B238" s="16" t="s">
        <v>462</v>
      </c>
      <c r="C238" s="16" t="s">
        <v>979</v>
      </c>
      <c r="D238" s="17">
        <v>1.4812581438402154E-3</v>
      </c>
      <c r="E238" s="16" t="s">
        <v>781</v>
      </c>
      <c r="F238" s="13">
        <v>0.28307185340661833</v>
      </c>
      <c r="H238" s="18"/>
      <c r="T238" s="18"/>
    </row>
    <row r="239" spans="1:20">
      <c r="A239" s="14">
        <v>237</v>
      </c>
      <c r="B239" s="16" t="s">
        <v>463</v>
      </c>
      <c r="C239" s="16" t="s">
        <v>980</v>
      </c>
      <c r="D239" s="17">
        <v>8.1131447798271129E-4</v>
      </c>
      <c r="E239" s="16" t="s">
        <v>761</v>
      </c>
      <c r="F239" s="13">
        <v>0.34114456910220436</v>
      </c>
      <c r="H239" s="18"/>
      <c r="T239" s="18"/>
    </row>
    <row r="240" spans="1:20">
      <c r="A240" s="14">
        <v>238</v>
      </c>
      <c r="B240" s="16" t="s">
        <v>464</v>
      </c>
      <c r="C240" s="16" t="s">
        <v>981</v>
      </c>
      <c r="D240" s="17">
        <v>1.8802126532383898E-3</v>
      </c>
      <c r="E240" s="16" t="s">
        <v>738</v>
      </c>
      <c r="F240" s="13">
        <v>6.8289375250939477E-2</v>
      </c>
      <c r="H240" s="18"/>
      <c r="T240" s="18"/>
    </row>
    <row r="241" spans="1:20">
      <c r="A241" s="14">
        <v>239</v>
      </c>
      <c r="B241" s="16" t="s">
        <v>465</v>
      </c>
      <c r="C241" s="16" t="s">
        <v>982</v>
      </c>
      <c r="D241" s="17">
        <v>2.9524323100891457E-4</v>
      </c>
      <c r="E241" s="16" t="s">
        <v>740</v>
      </c>
      <c r="F241" s="13">
        <v>4.5854736352512804E-2</v>
      </c>
      <c r="H241" s="18"/>
      <c r="T241" s="18"/>
    </row>
    <row r="242" spans="1:20">
      <c r="A242" s="14">
        <v>240</v>
      </c>
      <c r="B242" s="16" t="s">
        <v>466</v>
      </c>
      <c r="C242" s="16" t="s">
        <v>983</v>
      </c>
      <c r="D242" s="17">
        <v>8.3275825908059094E-3</v>
      </c>
      <c r="E242" s="16" t="s">
        <v>800</v>
      </c>
      <c r="F242" s="13">
        <v>8.0374727695144088E-2</v>
      </c>
      <c r="H242" s="18"/>
      <c r="T242" s="18"/>
    </row>
    <row r="243" spans="1:20">
      <c r="A243" s="14">
        <v>241</v>
      </c>
      <c r="B243" s="16" t="s">
        <v>467</v>
      </c>
      <c r="C243" s="16" t="s">
        <v>984</v>
      </c>
      <c r="D243" s="17">
        <v>2.4445200521768391E-4</v>
      </c>
      <c r="E243" s="16" t="s">
        <v>740</v>
      </c>
      <c r="F243" s="13">
        <v>3.6873315057812217E-2</v>
      </c>
      <c r="H243" s="18"/>
      <c r="T243" s="18"/>
    </row>
    <row r="244" spans="1:20">
      <c r="A244" s="14">
        <v>242</v>
      </c>
      <c r="B244" s="16" t="s">
        <v>468</v>
      </c>
      <c r="C244" s="16" t="s">
        <v>985</v>
      </c>
      <c r="D244" s="17">
        <v>4.8565532500043936E-4</v>
      </c>
      <c r="E244" s="16" t="s">
        <v>738</v>
      </c>
      <c r="F244" s="13">
        <v>0.20673915481509786</v>
      </c>
      <c r="H244" s="18"/>
      <c r="T244" s="18"/>
    </row>
    <row r="245" spans="1:20">
      <c r="A245" s="14">
        <v>243</v>
      </c>
      <c r="B245" s="16" t="s">
        <v>469</v>
      </c>
      <c r="C245" s="16" t="s">
        <v>986</v>
      </c>
      <c r="D245" s="17">
        <v>1.1503420618295247E-3</v>
      </c>
      <c r="E245" s="16" t="s">
        <v>781</v>
      </c>
      <c r="F245" s="13">
        <v>0.47473002403985687</v>
      </c>
      <c r="H245" s="18"/>
      <c r="T245" s="18"/>
    </row>
    <row r="246" spans="1:20">
      <c r="A246" s="14">
        <v>244</v>
      </c>
      <c r="B246" s="16" t="s">
        <v>470</v>
      </c>
      <c r="C246" s="16" t="s">
        <v>987</v>
      </c>
      <c r="D246" s="17">
        <v>1.2686013980432228E-3</v>
      </c>
      <c r="E246" s="16" t="s">
        <v>740</v>
      </c>
      <c r="F246" s="13">
        <v>9.7378436974060456E-4</v>
      </c>
      <c r="H246" s="18"/>
      <c r="T246" s="18"/>
    </row>
    <row r="247" spans="1:20">
      <c r="A247" s="14">
        <v>245</v>
      </c>
      <c r="B247" s="16" t="s">
        <v>471</v>
      </c>
      <c r="C247" s="16" t="s">
        <v>988</v>
      </c>
      <c r="D247" s="17">
        <v>1.0967857388315365E-4</v>
      </c>
      <c r="E247" s="16" t="s">
        <v>761</v>
      </c>
      <c r="F247" s="13">
        <v>-0.10707036154137661</v>
      </c>
      <c r="H247" s="18"/>
      <c r="T247" s="18"/>
    </row>
    <row r="248" spans="1:20">
      <c r="A248" s="14">
        <v>246</v>
      </c>
      <c r="B248" s="16" t="s">
        <v>472</v>
      </c>
      <c r="C248" s="16" t="s">
        <v>989</v>
      </c>
      <c r="D248" s="17">
        <v>4.0024698343571968E-4</v>
      </c>
      <c r="E248" s="16" t="s">
        <v>738</v>
      </c>
      <c r="F248" s="13">
        <v>-0.24503066554997577</v>
      </c>
      <c r="H248" s="18"/>
      <c r="T248" s="18"/>
    </row>
    <row r="249" spans="1:20">
      <c r="A249" s="14">
        <v>247</v>
      </c>
      <c r="B249" s="16" t="s">
        <v>473</v>
      </c>
      <c r="C249" s="16" t="s">
        <v>990</v>
      </c>
      <c r="D249" s="17">
        <v>2.4645857368775221E-3</v>
      </c>
      <c r="E249" s="16" t="s">
        <v>740</v>
      </c>
      <c r="F249" s="13">
        <v>0.15054286426847563</v>
      </c>
      <c r="H249" s="18"/>
      <c r="T249" s="18"/>
    </row>
    <row r="250" spans="1:20">
      <c r="A250" s="14">
        <v>248</v>
      </c>
      <c r="B250" s="16" t="s">
        <v>474</v>
      </c>
      <c r="C250" s="16" t="s">
        <v>991</v>
      </c>
      <c r="D250" s="17">
        <v>1.8716240953461536E-4</v>
      </c>
      <c r="E250" s="16" t="s">
        <v>738</v>
      </c>
      <c r="F250" s="13">
        <v>1.7417459241282351E-2</v>
      </c>
      <c r="H250" s="18"/>
      <c r="T250" s="18"/>
    </row>
    <row r="251" spans="1:20">
      <c r="A251" s="14">
        <v>249</v>
      </c>
      <c r="B251" s="16" t="s">
        <v>475</v>
      </c>
      <c r="C251" s="16" t="s">
        <v>992</v>
      </c>
      <c r="D251" s="17">
        <v>1.623896514596236E-3</v>
      </c>
      <c r="E251" s="16" t="s">
        <v>745</v>
      </c>
      <c r="F251" s="13">
        <v>9.8514147463982571E-2</v>
      </c>
      <c r="H251" s="18"/>
      <c r="T251" s="18"/>
    </row>
    <row r="252" spans="1:20">
      <c r="A252" s="14">
        <v>250</v>
      </c>
      <c r="B252" s="16" t="s">
        <v>476</v>
      </c>
      <c r="C252" s="16" t="s">
        <v>993</v>
      </c>
      <c r="D252" s="17">
        <v>2.120312114005213E-4</v>
      </c>
      <c r="E252" s="16" t="s">
        <v>752</v>
      </c>
      <c r="F252" s="13">
        <v>-0.20550109672393002</v>
      </c>
      <c r="H252" s="18"/>
      <c r="T252" s="18"/>
    </row>
    <row r="253" spans="1:20">
      <c r="A253" s="14">
        <v>251</v>
      </c>
      <c r="B253" s="16" t="s">
        <v>477</v>
      </c>
      <c r="C253" s="16" t="s">
        <v>994</v>
      </c>
      <c r="D253" s="17">
        <v>9.4527408529578179E-4</v>
      </c>
      <c r="E253" s="16" t="s">
        <v>738</v>
      </c>
      <c r="F253" s="13">
        <v>-1.7249992205770837E-2</v>
      </c>
      <c r="H253" s="18"/>
      <c r="T253" s="18"/>
    </row>
    <row r="254" spans="1:20">
      <c r="A254" s="14">
        <v>252</v>
      </c>
      <c r="B254" s="16" t="s">
        <v>478</v>
      </c>
      <c r="C254" s="16" t="s">
        <v>995</v>
      </c>
      <c r="D254" s="17">
        <v>1.3946442660215042E-4</v>
      </c>
      <c r="E254" s="16" t="s">
        <v>736</v>
      </c>
      <c r="F254" s="13">
        <v>-0.26047208687011936</v>
      </c>
      <c r="H254" s="18"/>
      <c r="T254" s="18"/>
    </row>
    <row r="255" spans="1:20">
      <c r="A255" s="14">
        <v>253</v>
      </c>
      <c r="B255" s="16" t="s">
        <v>479</v>
      </c>
      <c r="C255" s="16" t="s">
        <v>996</v>
      </c>
      <c r="D255" s="17">
        <v>1.7196764933083482E-4</v>
      </c>
      <c r="E255" s="16" t="s">
        <v>755</v>
      </c>
      <c r="F255" s="13">
        <v>-2.5847622791215552E-2</v>
      </c>
      <c r="H255" s="18"/>
      <c r="T255" s="18"/>
    </row>
    <row r="256" spans="1:20">
      <c r="A256" s="14">
        <v>254</v>
      </c>
      <c r="B256" s="16" t="s">
        <v>480</v>
      </c>
      <c r="C256" s="16" t="s">
        <v>997</v>
      </c>
      <c r="D256" s="17">
        <v>3.1238850336684683E-4</v>
      </c>
      <c r="E256" s="16" t="s">
        <v>761</v>
      </c>
      <c r="F256" s="13">
        <v>0.18345652477538654</v>
      </c>
      <c r="H256" s="18"/>
      <c r="T256" s="18"/>
    </row>
    <row r="257" spans="1:20">
      <c r="A257" s="14">
        <v>255</v>
      </c>
      <c r="B257" s="16" t="s">
        <v>481</v>
      </c>
      <c r="C257" s="16" t="s">
        <v>998</v>
      </c>
      <c r="D257" s="17">
        <v>6.7444379561619906E-4</v>
      </c>
      <c r="E257" s="16" t="s">
        <v>738</v>
      </c>
      <c r="F257" s="13">
        <v>0.19854826498336875</v>
      </c>
      <c r="H257" s="18"/>
      <c r="T257" s="18"/>
    </row>
    <row r="258" spans="1:20">
      <c r="A258" s="14">
        <v>256</v>
      </c>
      <c r="B258" s="16" t="s">
        <v>482</v>
      </c>
      <c r="C258" s="16" t="s">
        <v>999</v>
      </c>
      <c r="D258" s="17">
        <v>3.1317345240938364E-4</v>
      </c>
      <c r="E258" s="16" t="s">
        <v>738</v>
      </c>
      <c r="F258" s="13">
        <v>-2.6016070471270636E-2</v>
      </c>
      <c r="H258" s="18"/>
      <c r="T258" s="18"/>
    </row>
    <row r="259" spans="1:20">
      <c r="A259" s="14">
        <v>257</v>
      </c>
      <c r="B259" s="16" t="s">
        <v>483</v>
      </c>
      <c r="C259" s="16" t="s">
        <v>1000</v>
      </c>
      <c r="D259" s="17">
        <v>3.7413344257461722E-4</v>
      </c>
      <c r="E259" s="16" t="s">
        <v>761</v>
      </c>
      <c r="F259" s="13">
        <v>3.4342005790353847E-2</v>
      </c>
      <c r="H259" s="18"/>
      <c r="T259" s="18"/>
    </row>
    <row r="260" spans="1:20">
      <c r="A260" s="14">
        <v>258</v>
      </c>
      <c r="B260" s="16" t="s">
        <v>484</v>
      </c>
      <c r="C260" s="16" t="s">
        <v>1001</v>
      </c>
      <c r="D260" s="17">
        <v>1.6590362903672526E-3</v>
      </c>
      <c r="E260" s="16" t="s">
        <v>755</v>
      </c>
      <c r="F260" s="13">
        <v>0.42579754697719574</v>
      </c>
      <c r="H260" s="18"/>
      <c r="T260" s="18"/>
    </row>
    <row r="261" spans="1:20">
      <c r="A261" s="14">
        <v>259</v>
      </c>
      <c r="B261" s="16" t="s">
        <v>485</v>
      </c>
      <c r="C261" s="16" t="s">
        <v>1002</v>
      </c>
      <c r="D261" s="17">
        <v>6.1279364803288857E-4</v>
      </c>
      <c r="E261" s="16" t="s">
        <v>800</v>
      </c>
      <c r="F261" s="13">
        <v>4.6965737225097559E-2</v>
      </c>
      <c r="H261" s="18"/>
      <c r="T261" s="18"/>
    </row>
    <row r="262" spans="1:20">
      <c r="A262" s="14">
        <v>260</v>
      </c>
      <c r="B262" s="16" t="s">
        <v>486</v>
      </c>
      <c r="C262" s="16" t="s">
        <v>1003</v>
      </c>
      <c r="D262" s="17">
        <v>1.7215134864666896E-4</v>
      </c>
      <c r="E262" s="16" t="s">
        <v>800</v>
      </c>
      <c r="F262" s="13">
        <v>7.6790839499325525E-2</v>
      </c>
      <c r="H262" s="18"/>
      <c r="T262" s="18"/>
    </row>
    <row r="263" spans="1:20">
      <c r="A263" s="14">
        <v>261</v>
      </c>
      <c r="B263" s="16" t="s">
        <v>487</v>
      </c>
      <c r="C263" s="16" t="s">
        <v>1004</v>
      </c>
      <c r="D263" s="17">
        <v>8.698329259321766E-4</v>
      </c>
      <c r="E263" s="16" t="s">
        <v>742</v>
      </c>
      <c r="F263" s="13">
        <v>0.70416301525589597</v>
      </c>
      <c r="H263" s="18"/>
      <c r="T263" s="18"/>
    </row>
    <row r="264" spans="1:20">
      <c r="A264" s="14">
        <v>262</v>
      </c>
      <c r="B264" s="16" t="s">
        <v>488</v>
      </c>
      <c r="C264" s="16" t="s">
        <v>1005</v>
      </c>
      <c r="D264" s="17">
        <v>8.9291997051151094E-4</v>
      </c>
      <c r="E264" s="16" t="s">
        <v>800</v>
      </c>
      <c r="F264" s="13">
        <v>0.27947851487708841</v>
      </c>
      <c r="H264" s="18"/>
      <c r="T264" s="18"/>
    </row>
    <row r="265" spans="1:20">
      <c r="A265" s="14">
        <v>263</v>
      </c>
      <c r="B265" s="16" t="s">
        <v>489</v>
      </c>
      <c r="C265" s="16" t="s">
        <v>1006</v>
      </c>
      <c r="D265" s="17">
        <v>6.3720540537671284E-4</v>
      </c>
      <c r="E265" s="16" t="s">
        <v>738</v>
      </c>
      <c r="F265" s="13">
        <v>-0.23576430853793839</v>
      </c>
      <c r="H265" s="18"/>
      <c r="T265" s="18"/>
    </row>
    <row r="266" spans="1:20">
      <c r="A266" s="14">
        <v>264</v>
      </c>
      <c r="B266" s="16" t="s">
        <v>490</v>
      </c>
      <c r="C266" s="16" t="s">
        <v>1007</v>
      </c>
      <c r="D266" s="17">
        <v>1.4963341092024049E-3</v>
      </c>
      <c r="E266" s="16" t="s">
        <v>738</v>
      </c>
      <c r="F266" s="13">
        <v>0.19750979497954213</v>
      </c>
      <c r="H266" s="18"/>
      <c r="T266" s="18"/>
    </row>
    <row r="267" spans="1:20">
      <c r="A267" s="14">
        <v>265</v>
      </c>
      <c r="B267" s="16" t="s">
        <v>491</v>
      </c>
      <c r="C267" s="16" t="s">
        <v>1008</v>
      </c>
      <c r="D267" s="17">
        <v>1.0586898385261864E-3</v>
      </c>
      <c r="E267" s="16" t="s">
        <v>761</v>
      </c>
      <c r="F267" s="13">
        <v>-0.19500598275725456</v>
      </c>
      <c r="H267" s="18"/>
      <c r="T267" s="18"/>
    </row>
    <row r="268" spans="1:20">
      <c r="A268" s="14">
        <v>266</v>
      </c>
      <c r="B268" s="16" t="s">
        <v>492</v>
      </c>
      <c r="C268" s="16" t="s">
        <v>1009</v>
      </c>
      <c r="D268" s="17">
        <v>1.8459434992096661E-4</v>
      </c>
      <c r="E268" s="16" t="s">
        <v>740</v>
      </c>
      <c r="F268" s="13">
        <v>-1.1012536848925558E-3</v>
      </c>
      <c r="H268" s="18"/>
      <c r="T268" s="18"/>
    </row>
    <row r="269" spans="1:20">
      <c r="A269" s="14">
        <v>267</v>
      </c>
      <c r="B269" s="16" t="s">
        <v>493</v>
      </c>
      <c r="C269" s="16" t="s">
        <v>1010</v>
      </c>
      <c r="D269" s="17">
        <v>4.2397034337289174E-3</v>
      </c>
      <c r="E269" s="16" t="s">
        <v>742</v>
      </c>
      <c r="F269" s="13">
        <v>0.70050442277458713</v>
      </c>
      <c r="H269" s="18"/>
      <c r="T269" s="18"/>
    </row>
    <row r="270" spans="1:20">
      <c r="A270" s="14">
        <v>268</v>
      </c>
      <c r="B270" s="16" t="s">
        <v>494</v>
      </c>
      <c r="C270" s="16" t="s">
        <v>1011</v>
      </c>
      <c r="D270" s="17">
        <v>4.0107403528804475E-4</v>
      </c>
      <c r="E270" s="16" t="s">
        <v>752</v>
      </c>
      <c r="F270" s="13">
        <v>-0.22762343095674564</v>
      </c>
      <c r="H270" s="18"/>
      <c r="T270" s="18"/>
    </row>
    <row r="271" spans="1:20">
      <c r="A271" s="14">
        <v>269</v>
      </c>
      <c r="B271" s="16" t="s">
        <v>495</v>
      </c>
      <c r="C271" s="16" t="s">
        <v>1012</v>
      </c>
      <c r="D271" s="17">
        <v>2.8446593857454541E-3</v>
      </c>
      <c r="E271" s="16" t="s">
        <v>736</v>
      </c>
      <c r="F271" s="13">
        <v>4.4886862848512843E-2</v>
      </c>
      <c r="H271" s="18"/>
      <c r="T271" s="18"/>
    </row>
    <row r="272" spans="1:20">
      <c r="A272" s="14">
        <v>270</v>
      </c>
      <c r="B272" s="16" t="s">
        <v>496</v>
      </c>
      <c r="C272" s="16" t="s">
        <v>1013</v>
      </c>
      <c r="D272" s="17">
        <v>1.550460800746163E-3</v>
      </c>
      <c r="E272" s="16" t="s">
        <v>740</v>
      </c>
      <c r="F272" s="13">
        <v>0.12751462747053699</v>
      </c>
      <c r="H272" s="18"/>
      <c r="T272" s="18"/>
    </row>
    <row r="273" spans="1:20">
      <c r="A273" s="14">
        <v>271</v>
      </c>
      <c r="B273" s="16" t="s">
        <v>497</v>
      </c>
      <c r="C273" s="16" t="s">
        <v>1014</v>
      </c>
      <c r="D273" s="17">
        <v>5.9480842111471802E-4</v>
      </c>
      <c r="E273" s="16" t="s">
        <v>755</v>
      </c>
      <c r="F273" s="13">
        <v>-0.18197140895186958</v>
      </c>
      <c r="H273" s="18"/>
      <c r="T273" s="18"/>
    </row>
    <row r="274" spans="1:20">
      <c r="A274" s="14">
        <v>272</v>
      </c>
      <c r="B274" s="16" t="s">
        <v>498</v>
      </c>
      <c r="C274" s="16" t="s">
        <v>1015</v>
      </c>
      <c r="D274" s="17">
        <v>1.6327038880544315E-3</v>
      </c>
      <c r="E274" s="16" t="s">
        <v>738</v>
      </c>
      <c r="F274" s="13">
        <v>9.8803598739479082E-2</v>
      </c>
      <c r="H274" s="18"/>
      <c r="T274" s="18"/>
    </row>
    <row r="275" spans="1:20">
      <c r="A275" s="14">
        <v>273</v>
      </c>
      <c r="B275" s="16" t="s">
        <v>499</v>
      </c>
      <c r="C275" s="16" t="s">
        <v>1016</v>
      </c>
      <c r="D275" s="17">
        <v>2.0175949057794716E-3</v>
      </c>
      <c r="E275" s="16" t="s">
        <v>752</v>
      </c>
      <c r="F275" s="13">
        <v>-0.2483447104822496</v>
      </c>
      <c r="H275" s="18"/>
      <c r="T275" s="18"/>
    </row>
    <row r="276" spans="1:20">
      <c r="A276" s="14">
        <v>274</v>
      </c>
      <c r="B276" s="16" t="s">
        <v>500</v>
      </c>
      <c r="C276" s="16" t="s">
        <v>1017</v>
      </c>
      <c r="D276" s="17">
        <v>4.1720181369520889E-4</v>
      </c>
      <c r="E276" s="16" t="s">
        <v>742</v>
      </c>
      <c r="F276" s="13">
        <v>-9.2804549099657518E-2</v>
      </c>
      <c r="H276" s="18"/>
      <c r="T276" s="18"/>
    </row>
    <row r="277" spans="1:20">
      <c r="A277" s="14">
        <v>275</v>
      </c>
      <c r="B277" s="16" t="s">
        <v>501</v>
      </c>
      <c r="C277" s="16" t="s">
        <v>1018</v>
      </c>
      <c r="D277" s="17">
        <v>5.0411001525388936E-3</v>
      </c>
      <c r="E277" s="16" t="s">
        <v>742</v>
      </c>
      <c r="F277" s="13">
        <v>-2.4383188736812667E-2</v>
      </c>
      <c r="H277" s="18"/>
      <c r="T277" s="18"/>
    </row>
    <row r="278" spans="1:20">
      <c r="A278" s="14">
        <v>276</v>
      </c>
      <c r="B278" s="16" t="s">
        <v>502</v>
      </c>
      <c r="C278" s="16" t="s">
        <v>1019</v>
      </c>
      <c r="D278" s="17">
        <v>4.5643701115762687E-4</v>
      </c>
      <c r="E278" s="16" t="s">
        <v>745</v>
      </c>
      <c r="F278" s="13">
        <v>-0.17078977056488087</v>
      </c>
      <c r="H278" s="18"/>
      <c r="T278" s="18"/>
    </row>
    <row r="279" spans="1:20">
      <c r="A279" s="14">
        <v>277</v>
      </c>
      <c r="B279" s="16" t="s">
        <v>503</v>
      </c>
      <c r="C279" s="16" t="s">
        <v>1020</v>
      </c>
      <c r="D279" s="17">
        <v>9.0094727926486517E-4</v>
      </c>
      <c r="E279" s="16" t="s">
        <v>740</v>
      </c>
      <c r="F279" s="13">
        <v>-1.4325003445466167E-2</v>
      </c>
      <c r="H279" s="18"/>
      <c r="T279" s="18"/>
    </row>
    <row r="280" spans="1:20">
      <c r="A280" s="14">
        <v>278</v>
      </c>
      <c r="B280" s="16" t="s">
        <v>504</v>
      </c>
      <c r="C280" s="16" t="s">
        <v>1021</v>
      </c>
      <c r="D280" s="17">
        <v>8.2771482951381984E-4</v>
      </c>
      <c r="E280" s="16" t="s">
        <v>752</v>
      </c>
      <c r="F280" s="13">
        <v>-0.29380040908507943</v>
      </c>
      <c r="H280" s="18"/>
      <c r="T280" s="18"/>
    </row>
    <row r="281" spans="1:20">
      <c r="A281" s="14">
        <v>279</v>
      </c>
      <c r="B281" s="16" t="s">
        <v>505</v>
      </c>
      <c r="C281" s="16" t="s">
        <v>1022</v>
      </c>
      <c r="D281" s="17">
        <v>8.5969036274355815E-4</v>
      </c>
      <c r="E281" s="16" t="s">
        <v>738</v>
      </c>
      <c r="F281" s="13">
        <v>7.9996887606910594E-2</v>
      </c>
      <c r="H281" s="18"/>
      <c r="T281" s="18"/>
    </row>
    <row r="282" spans="1:20">
      <c r="A282" s="14">
        <v>280</v>
      </c>
      <c r="B282" s="16" t="s">
        <v>506</v>
      </c>
      <c r="C282" s="16" t="s">
        <v>1023</v>
      </c>
      <c r="D282" s="17">
        <v>2.0282475103037149E-4</v>
      </c>
      <c r="E282" s="16" t="s">
        <v>738</v>
      </c>
      <c r="F282" s="13">
        <v>7.9917498294358458E-2</v>
      </c>
      <c r="H282" s="18"/>
      <c r="T282" s="18"/>
    </row>
    <row r="283" spans="1:20">
      <c r="A283" s="14">
        <v>281</v>
      </c>
      <c r="B283" s="16" t="s">
        <v>507</v>
      </c>
      <c r="C283" s="16" t="s">
        <v>1024</v>
      </c>
      <c r="D283" s="17">
        <v>9.6669464685472857E-4</v>
      </c>
      <c r="E283" s="16" t="s">
        <v>800</v>
      </c>
      <c r="F283" s="13">
        <v>0.13340336134453579</v>
      </c>
      <c r="H283" s="18"/>
      <c r="T283" s="18"/>
    </row>
    <row r="284" spans="1:20">
      <c r="A284" s="14">
        <v>282</v>
      </c>
      <c r="B284" s="16" t="s">
        <v>508</v>
      </c>
      <c r="C284" s="16" t="s">
        <v>1025</v>
      </c>
      <c r="D284" s="17">
        <v>8.9205602726484881E-4</v>
      </c>
      <c r="E284" s="16" t="s">
        <v>752</v>
      </c>
      <c r="F284" s="13">
        <v>4.0668075137265891E-2</v>
      </c>
      <c r="H284" s="18"/>
      <c r="T284" s="18"/>
    </row>
    <row r="285" spans="1:20">
      <c r="A285" s="14">
        <v>283</v>
      </c>
      <c r="B285" s="16" t="s">
        <v>509</v>
      </c>
      <c r="C285" s="16" t="s">
        <v>1026</v>
      </c>
      <c r="D285" s="17">
        <v>5.4253822917854555E-3</v>
      </c>
      <c r="E285" s="16" t="s">
        <v>736</v>
      </c>
      <c r="F285" s="13">
        <v>0.14579111018618907</v>
      </c>
      <c r="H285" s="18"/>
      <c r="T285" s="18"/>
    </row>
    <row r="286" spans="1:20">
      <c r="A286" s="14">
        <v>284</v>
      </c>
      <c r="B286" s="16" t="s">
        <v>510</v>
      </c>
      <c r="C286" s="16" t="s">
        <v>1027</v>
      </c>
      <c r="D286" s="17">
        <v>8.9428050685229897E-5</v>
      </c>
      <c r="E286" s="16" t="s">
        <v>742</v>
      </c>
      <c r="F286" s="13">
        <v>-0.48523396188765811</v>
      </c>
      <c r="H286" s="18"/>
      <c r="T286" s="18"/>
    </row>
    <row r="287" spans="1:20">
      <c r="A287" s="14">
        <v>285</v>
      </c>
      <c r="B287" s="16" t="s">
        <v>511</v>
      </c>
      <c r="C287" s="16" t="s">
        <v>912</v>
      </c>
      <c r="D287" s="17">
        <v>1.5444774528082435E-4</v>
      </c>
      <c r="E287" s="16" t="s">
        <v>749</v>
      </c>
      <c r="F287" s="13">
        <v>6.8092147129947822E-3</v>
      </c>
      <c r="H287" s="18"/>
      <c r="T287" s="18"/>
    </row>
    <row r="288" spans="1:20">
      <c r="A288" s="14">
        <v>286</v>
      </c>
      <c r="B288" s="16" t="s">
        <v>512</v>
      </c>
      <c r="C288" s="16" t="s">
        <v>1028</v>
      </c>
      <c r="D288" s="17">
        <v>4.3169770059763685E-4</v>
      </c>
      <c r="E288" s="16" t="s">
        <v>736</v>
      </c>
      <c r="F288" s="13">
        <v>8.0553050796512427E-2</v>
      </c>
      <c r="H288" s="18"/>
      <c r="T288" s="18"/>
    </row>
    <row r="289" spans="1:20">
      <c r="A289" s="14">
        <v>287</v>
      </c>
      <c r="B289" s="16" t="s">
        <v>513</v>
      </c>
      <c r="C289" s="16" t="s">
        <v>1029</v>
      </c>
      <c r="D289" s="17">
        <v>2.269239464173171E-4</v>
      </c>
      <c r="E289" s="16" t="s">
        <v>752</v>
      </c>
      <c r="F289" s="13">
        <v>3.6999831879591882E-2</v>
      </c>
      <c r="H289" s="18"/>
      <c r="T289" s="18"/>
    </row>
    <row r="290" spans="1:20">
      <c r="A290" s="14">
        <v>288</v>
      </c>
      <c r="B290" s="16" t="s">
        <v>514</v>
      </c>
      <c r="C290" s="16" t="s">
        <v>1030</v>
      </c>
      <c r="D290" s="17">
        <v>1.1803993580956614E-3</v>
      </c>
      <c r="E290" s="16" t="s">
        <v>742</v>
      </c>
      <c r="F290" s="13">
        <v>0.35988889353588815</v>
      </c>
      <c r="H290" s="18"/>
      <c r="T290" s="18"/>
    </row>
    <row r="291" spans="1:20">
      <c r="A291" s="14">
        <v>289</v>
      </c>
      <c r="B291" s="16" t="s">
        <v>515</v>
      </c>
      <c r="C291" s="16" t="s">
        <v>1031</v>
      </c>
      <c r="D291" s="17">
        <v>5.4289093591217261E-4</v>
      </c>
      <c r="E291" s="16" t="s">
        <v>761</v>
      </c>
      <c r="F291" s="13">
        <v>-0.10276172974282294</v>
      </c>
      <c r="H291" s="18"/>
      <c r="T291" s="18"/>
    </row>
    <row r="292" spans="1:20">
      <c r="A292" s="14">
        <v>290</v>
      </c>
      <c r="B292" s="16" t="s">
        <v>516</v>
      </c>
      <c r="C292" s="16" t="s">
        <v>1032</v>
      </c>
      <c r="D292" s="17">
        <v>3.561176185215244E-4</v>
      </c>
      <c r="E292" s="16" t="s">
        <v>745</v>
      </c>
      <c r="F292" s="13">
        <v>0.14644385086249723</v>
      </c>
      <c r="H292" s="18"/>
      <c r="T292" s="18"/>
    </row>
    <row r="293" spans="1:20">
      <c r="A293" s="14">
        <v>291</v>
      </c>
      <c r="B293" s="16" t="s">
        <v>517</v>
      </c>
      <c r="C293" s="16" t="s">
        <v>1033</v>
      </c>
      <c r="D293" s="17">
        <v>1.3245419800671614E-4</v>
      </c>
      <c r="E293" s="16" t="s">
        <v>738</v>
      </c>
      <c r="F293" s="13">
        <v>-0.20620707880981859</v>
      </c>
      <c r="H293" s="18"/>
      <c r="T293" s="18"/>
    </row>
    <row r="294" spans="1:20">
      <c r="A294" s="14">
        <v>292</v>
      </c>
      <c r="B294" s="16" t="s">
        <v>518</v>
      </c>
      <c r="C294" s="16" t="s">
        <v>1034</v>
      </c>
      <c r="D294" s="17">
        <v>3.7493567008799877E-4</v>
      </c>
      <c r="E294" s="16" t="s">
        <v>738</v>
      </c>
      <c r="F294" s="13">
        <v>1.4968673672237864E-2</v>
      </c>
      <c r="H294" s="18"/>
      <c r="T294" s="18"/>
    </row>
    <row r="295" spans="1:20">
      <c r="A295" s="14">
        <v>293</v>
      </c>
      <c r="B295" s="16" t="s">
        <v>519</v>
      </c>
      <c r="C295" s="16" t="s">
        <v>1035</v>
      </c>
      <c r="D295" s="17">
        <v>1.8400664178676227E-2</v>
      </c>
      <c r="E295" s="16" t="s">
        <v>752</v>
      </c>
      <c r="F295" s="13">
        <v>-4.61570068710484E-2</v>
      </c>
      <c r="H295" s="18"/>
      <c r="T295" s="18"/>
    </row>
    <row r="296" spans="1:20">
      <c r="A296" s="14">
        <v>294</v>
      </c>
      <c r="B296" s="16" t="s">
        <v>520</v>
      </c>
      <c r="C296" s="16" t="s">
        <v>1036</v>
      </c>
      <c r="D296" s="17">
        <v>2.0800885713164477E-2</v>
      </c>
      <c r="E296" s="16" t="s">
        <v>749</v>
      </c>
      <c r="F296" s="13">
        <v>-6.5376905292894527E-2</v>
      </c>
      <c r="H296" s="18"/>
      <c r="T296" s="18"/>
    </row>
    <row r="297" spans="1:20">
      <c r="A297" s="14">
        <v>295</v>
      </c>
      <c r="B297" s="16" t="s">
        <v>521</v>
      </c>
      <c r="C297" s="16" t="s">
        <v>1037</v>
      </c>
      <c r="D297" s="17">
        <v>8.0735523623177204E-4</v>
      </c>
      <c r="E297" s="16" t="s">
        <v>740</v>
      </c>
      <c r="F297" s="13">
        <v>6.8775586528699195E-2</v>
      </c>
      <c r="H297" s="18"/>
      <c r="T297" s="18"/>
    </row>
    <row r="298" spans="1:20">
      <c r="A298" s="14">
        <v>296</v>
      </c>
      <c r="B298" s="16" t="s">
        <v>522</v>
      </c>
      <c r="C298" s="16" t="s">
        <v>1038</v>
      </c>
      <c r="D298" s="17">
        <v>3.0040984523915679E-4</v>
      </c>
      <c r="E298" s="16" t="s">
        <v>761</v>
      </c>
      <c r="F298" s="13">
        <v>0.16300409521728576</v>
      </c>
      <c r="H298" s="18"/>
      <c r="T298" s="18"/>
    </row>
    <row r="299" spans="1:20">
      <c r="A299" s="14">
        <v>297</v>
      </c>
      <c r="B299" s="16" t="s">
        <v>523</v>
      </c>
      <c r="C299" s="16" t="s">
        <v>1039</v>
      </c>
      <c r="D299" s="17">
        <v>1.9282074341606066E-4</v>
      </c>
      <c r="E299" s="16" t="s">
        <v>745</v>
      </c>
      <c r="F299" s="13">
        <v>0.17732966881303724</v>
      </c>
      <c r="H299" s="18"/>
      <c r="T299" s="18"/>
    </row>
    <row r="300" spans="1:20">
      <c r="A300" s="14">
        <v>298</v>
      </c>
      <c r="B300" s="16" t="s">
        <v>524</v>
      </c>
      <c r="C300" s="16" t="s">
        <v>1040</v>
      </c>
      <c r="D300" s="17">
        <v>2.6330702269561259E-4</v>
      </c>
      <c r="E300" s="16" t="s">
        <v>742</v>
      </c>
      <c r="F300" s="13">
        <v>8.0749354005168694E-2</v>
      </c>
      <c r="H300" s="18"/>
      <c r="T300" s="18"/>
    </row>
    <row r="301" spans="1:20">
      <c r="A301" s="14">
        <v>299</v>
      </c>
      <c r="B301" s="16" t="s">
        <v>525</v>
      </c>
      <c r="C301" s="16" t="s">
        <v>1041</v>
      </c>
      <c r="D301" s="17">
        <v>4.6129697148635342E-4</v>
      </c>
      <c r="E301" s="16" t="s">
        <v>736</v>
      </c>
      <c r="F301" s="13">
        <v>-0.22255717616443171</v>
      </c>
      <c r="H301" s="18"/>
      <c r="T301" s="18"/>
    </row>
    <row r="302" spans="1:20">
      <c r="A302" s="14">
        <v>300</v>
      </c>
      <c r="B302" s="16" t="s">
        <v>526</v>
      </c>
      <c r="C302" s="16" t="s">
        <v>1042</v>
      </c>
      <c r="D302" s="17">
        <v>3.3106323195767582E-4</v>
      </c>
      <c r="E302" s="16" t="s">
        <v>740</v>
      </c>
      <c r="F302" s="13">
        <v>3.509811668642171E-2</v>
      </c>
      <c r="H302" s="18"/>
      <c r="T302" s="18"/>
    </row>
    <row r="303" spans="1:20">
      <c r="A303" s="14">
        <v>301</v>
      </c>
      <c r="B303" s="16" t="s">
        <v>527</v>
      </c>
      <c r="C303" s="16" t="s">
        <v>1043</v>
      </c>
      <c r="D303" s="17">
        <v>5.8599082813823756E-4</v>
      </c>
      <c r="E303" s="16" t="s">
        <v>738</v>
      </c>
      <c r="F303" s="13">
        <v>0.24831480354259772</v>
      </c>
      <c r="H303" s="18"/>
      <c r="T303" s="18"/>
    </row>
    <row r="304" spans="1:20">
      <c r="A304" s="14">
        <v>302</v>
      </c>
      <c r="B304" s="16" t="s">
        <v>528</v>
      </c>
      <c r="C304" s="16" t="s">
        <v>1044</v>
      </c>
      <c r="D304" s="17">
        <v>1.2331269757510635E-3</v>
      </c>
      <c r="E304" s="16" t="s">
        <v>800</v>
      </c>
      <c r="F304" s="13">
        <v>0.15626251056627449</v>
      </c>
      <c r="H304" s="18"/>
      <c r="T304" s="18"/>
    </row>
    <row r="305" spans="1:20">
      <c r="A305" s="14">
        <v>303</v>
      </c>
      <c r="B305" s="16" t="s">
        <v>529</v>
      </c>
      <c r="C305" s="16" t="s">
        <v>1045</v>
      </c>
      <c r="D305" s="17">
        <v>3.4880285770335484E-4</v>
      </c>
      <c r="E305" s="16" t="s">
        <v>752</v>
      </c>
      <c r="F305" s="13">
        <v>-0.18706857622088824</v>
      </c>
      <c r="H305" s="18"/>
      <c r="T305" s="18"/>
    </row>
    <row r="306" spans="1:20">
      <c r="A306" s="14">
        <v>304</v>
      </c>
      <c r="B306" s="16" t="s">
        <v>530</v>
      </c>
      <c r="C306" s="16" t="s">
        <v>1046</v>
      </c>
      <c r="D306" s="17">
        <v>1.2490076724174107E-3</v>
      </c>
      <c r="E306" s="16" t="s">
        <v>740</v>
      </c>
      <c r="F306" s="13">
        <v>-5.8903667096865009E-2</v>
      </c>
      <c r="H306" s="18"/>
      <c r="T306" s="18"/>
    </row>
    <row r="307" spans="1:20">
      <c r="A307" s="14">
        <v>305</v>
      </c>
      <c r="B307" s="16" t="s">
        <v>531</v>
      </c>
      <c r="C307" s="16" t="s">
        <v>1047</v>
      </c>
      <c r="D307" s="17">
        <v>1.547874460772643E-4</v>
      </c>
      <c r="E307" s="16" t="s">
        <v>752</v>
      </c>
      <c r="F307" s="13">
        <v>-0.25216782361301637</v>
      </c>
      <c r="H307" s="18"/>
      <c r="T307" s="18"/>
    </row>
    <row r="308" spans="1:20">
      <c r="A308" s="14">
        <v>306</v>
      </c>
      <c r="B308" s="16" t="s">
        <v>532</v>
      </c>
      <c r="C308" s="16" t="s">
        <v>1048</v>
      </c>
      <c r="D308" s="17">
        <v>2.5810010905061701E-3</v>
      </c>
      <c r="E308" s="16" t="s">
        <v>742</v>
      </c>
      <c r="F308" s="13">
        <v>1.5929395354345535</v>
      </c>
      <c r="H308" s="18"/>
      <c r="T308" s="18"/>
    </row>
    <row r="309" spans="1:20">
      <c r="A309" s="14">
        <v>307</v>
      </c>
      <c r="B309" s="16" t="s">
        <v>533</v>
      </c>
      <c r="C309" s="16" t="s">
        <v>1049</v>
      </c>
      <c r="D309" s="17">
        <v>2.1228448108549572E-4</v>
      </c>
      <c r="E309" s="16" t="s">
        <v>755</v>
      </c>
      <c r="F309" s="13">
        <v>0.24744258764983362</v>
      </c>
      <c r="H309" s="18"/>
      <c r="T309" s="18"/>
    </row>
    <row r="310" spans="1:20">
      <c r="A310" s="14">
        <v>308</v>
      </c>
      <c r="B310" s="16" t="s">
        <v>534</v>
      </c>
      <c r="C310" s="16" t="s">
        <v>1050</v>
      </c>
      <c r="D310" s="17">
        <v>6.8342628860038719E-4</v>
      </c>
      <c r="E310" s="16" t="s">
        <v>740</v>
      </c>
      <c r="F310" s="13">
        <v>0.18117529313218594</v>
      </c>
      <c r="H310" s="18"/>
      <c r="T310" s="18"/>
    </row>
    <row r="311" spans="1:20">
      <c r="A311" s="14">
        <v>309</v>
      </c>
      <c r="B311" s="16" t="s">
        <v>535</v>
      </c>
      <c r="C311" s="16" t="s">
        <v>1051</v>
      </c>
      <c r="D311" s="17">
        <v>2.7081785096387664E-4</v>
      </c>
      <c r="E311" s="16" t="s">
        <v>749</v>
      </c>
      <c r="F311" s="13">
        <v>0.14494562310572245</v>
      </c>
      <c r="H311" s="18"/>
      <c r="T311" s="18"/>
    </row>
    <row r="312" spans="1:20">
      <c r="A312" s="14">
        <v>310</v>
      </c>
      <c r="B312" s="16" t="s">
        <v>536</v>
      </c>
      <c r="C312" s="16" t="s">
        <v>1052</v>
      </c>
      <c r="D312" s="17">
        <v>2.5985369842640394E-4</v>
      </c>
      <c r="E312" s="16" t="s">
        <v>761</v>
      </c>
      <c r="F312" s="13">
        <v>-0.20924096609654985</v>
      </c>
      <c r="H312" s="18"/>
      <c r="T312" s="18"/>
    </row>
    <row r="313" spans="1:20">
      <c r="A313" s="14">
        <v>311</v>
      </c>
      <c r="B313" s="16" t="s">
        <v>537</v>
      </c>
      <c r="C313" s="16" t="s">
        <v>1053</v>
      </c>
      <c r="D313" s="17">
        <v>1.0541829924268608E-3</v>
      </c>
      <c r="E313" s="16" t="s">
        <v>749</v>
      </c>
      <c r="F313" s="13">
        <v>-4.9456331111890739E-2</v>
      </c>
      <c r="H313" s="18"/>
      <c r="T313" s="18"/>
    </row>
    <row r="314" spans="1:20">
      <c r="A314" s="14">
        <v>312</v>
      </c>
      <c r="B314" s="16" t="s">
        <v>538</v>
      </c>
      <c r="C314" s="16" t="s">
        <v>1054</v>
      </c>
      <c r="D314" s="17">
        <v>1.3010358887007873E-3</v>
      </c>
      <c r="E314" s="16" t="s">
        <v>740</v>
      </c>
      <c r="F314" s="13">
        <v>0.11095970492687424</v>
      </c>
      <c r="H314" s="18"/>
      <c r="T314" s="18"/>
    </row>
    <row r="315" spans="1:20">
      <c r="A315" s="14">
        <v>313</v>
      </c>
      <c r="B315" s="16" t="s">
        <v>539</v>
      </c>
      <c r="C315" s="16" t="s">
        <v>1055</v>
      </c>
      <c r="D315" s="17">
        <v>2.3730778778216342E-4</v>
      </c>
      <c r="E315" s="16" t="s">
        <v>761</v>
      </c>
      <c r="F315" s="13">
        <v>5.9412892369057113E-2</v>
      </c>
      <c r="H315" s="18"/>
      <c r="T315" s="18"/>
    </row>
    <row r="316" spans="1:20">
      <c r="A316" s="14">
        <v>314</v>
      </c>
      <c r="B316" s="16" t="s">
        <v>540</v>
      </c>
      <c r="C316" s="16" t="s">
        <v>1056</v>
      </c>
      <c r="D316" s="17">
        <v>1.3453663718868878E-3</v>
      </c>
      <c r="E316" s="16" t="s">
        <v>736</v>
      </c>
      <c r="F316" s="13">
        <v>0.10710488649870942</v>
      </c>
      <c r="H316" s="18"/>
      <c r="T316" s="18"/>
    </row>
    <row r="317" spans="1:20">
      <c r="A317" s="14">
        <v>315</v>
      </c>
      <c r="B317" s="16" t="s">
        <v>541</v>
      </c>
      <c r="C317" s="16" t="s">
        <v>1057</v>
      </c>
      <c r="D317" s="17">
        <v>1.1742518820238251E-3</v>
      </c>
      <c r="E317" s="16" t="s">
        <v>742</v>
      </c>
      <c r="F317" s="13">
        <v>0.99333676678716842</v>
      </c>
      <c r="H317" s="18"/>
      <c r="T317" s="18"/>
    </row>
    <row r="318" spans="1:20">
      <c r="A318" s="14">
        <v>316</v>
      </c>
      <c r="B318" s="16" t="s">
        <v>542</v>
      </c>
      <c r="C318" s="16" t="s">
        <v>1058</v>
      </c>
      <c r="D318" s="17">
        <v>5.9676366019273874E-4</v>
      </c>
      <c r="E318" s="16" t="s">
        <v>740</v>
      </c>
      <c r="F318" s="13">
        <v>0.33115651946548663</v>
      </c>
      <c r="H318" s="18"/>
      <c r="T318" s="18"/>
    </row>
    <row r="319" spans="1:20">
      <c r="A319" s="14">
        <v>317</v>
      </c>
      <c r="B319" s="16" t="s">
        <v>543</v>
      </c>
      <c r="C319" s="16" t="s">
        <v>1059</v>
      </c>
      <c r="D319" s="17">
        <v>9.083469587237783E-4</v>
      </c>
      <c r="E319" s="16" t="s">
        <v>781</v>
      </c>
      <c r="F319" s="13">
        <v>0.46110138149836311</v>
      </c>
      <c r="H319" s="18"/>
      <c r="T319" s="18"/>
    </row>
    <row r="320" spans="1:20">
      <c r="A320" s="14">
        <v>318</v>
      </c>
      <c r="B320" s="16" t="s">
        <v>544</v>
      </c>
      <c r="C320" s="16" t="s">
        <v>1060</v>
      </c>
      <c r="D320" s="17">
        <v>6.5903168695270297E-4</v>
      </c>
      <c r="E320" s="16" t="s">
        <v>738</v>
      </c>
      <c r="F320" s="13">
        <v>-6.156130414238048E-2</v>
      </c>
      <c r="H320" s="18"/>
      <c r="T320" s="18"/>
    </row>
    <row r="321" spans="1:20">
      <c r="A321" s="14">
        <v>319</v>
      </c>
      <c r="B321" s="16" t="s">
        <v>545</v>
      </c>
      <c r="C321" s="16" t="s">
        <v>1061</v>
      </c>
      <c r="D321" s="17">
        <v>3.5151151588272661E-4</v>
      </c>
      <c r="E321" s="16" t="s">
        <v>738</v>
      </c>
      <c r="F321" s="13">
        <v>-1.1117596766615834E-2</v>
      </c>
      <c r="H321" s="18"/>
      <c r="T321" s="18"/>
    </row>
    <row r="322" spans="1:20">
      <c r="A322" s="14">
        <v>320</v>
      </c>
      <c r="B322" s="16" t="s">
        <v>546</v>
      </c>
      <c r="C322" s="16" t="s">
        <v>1062</v>
      </c>
      <c r="D322" s="17">
        <v>2.7583592274923113E-4</v>
      </c>
      <c r="E322" s="16" t="s">
        <v>740</v>
      </c>
      <c r="F322" s="13">
        <v>-0.31582970915996833</v>
      </c>
      <c r="H322" s="18"/>
      <c r="T322" s="18"/>
    </row>
    <row r="323" spans="1:20">
      <c r="A323" s="14">
        <v>321</v>
      </c>
      <c r="B323" s="16" t="s">
        <v>547</v>
      </c>
      <c r="C323" s="16" t="s">
        <v>1063</v>
      </c>
      <c r="D323" s="17">
        <v>3.8201196114429423E-4</v>
      </c>
      <c r="E323" s="16" t="s">
        <v>738</v>
      </c>
      <c r="F323" s="13">
        <v>0.15592667753418321</v>
      </c>
      <c r="H323" s="18"/>
      <c r="T323" s="18"/>
    </row>
    <row r="324" spans="1:20">
      <c r="A324" s="14">
        <v>322</v>
      </c>
      <c r="B324" s="16" t="s">
        <v>548</v>
      </c>
      <c r="C324" s="16" t="s">
        <v>1064</v>
      </c>
      <c r="D324" s="17">
        <v>7.7089416139603786E-4</v>
      </c>
      <c r="E324" s="16" t="s">
        <v>740</v>
      </c>
      <c r="F324" s="13">
        <v>0.10121546016990801</v>
      </c>
      <c r="H324" s="18"/>
      <c r="T324" s="18"/>
    </row>
    <row r="325" spans="1:20">
      <c r="A325" s="14">
        <v>323</v>
      </c>
      <c r="B325" s="16" t="s">
        <v>549</v>
      </c>
      <c r="C325" s="16" t="s">
        <v>1065</v>
      </c>
      <c r="D325" s="17">
        <v>1.7077837867005828E-3</v>
      </c>
      <c r="E325" s="16" t="s">
        <v>740</v>
      </c>
      <c r="F325" s="13">
        <v>-2.873047710121801E-2</v>
      </c>
      <c r="H325" s="18"/>
      <c r="T325" s="18"/>
    </row>
    <row r="326" spans="1:20">
      <c r="A326" s="14">
        <v>324</v>
      </c>
      <c r="B326" s="16" t="s">
        <v>550</v>
      </c>
      <c r="C326" s="16" t="s">
        <v>1066</v>
      </c>
      <c r="D326" s="17">
        <v>1.0370436598703039E-3</v>
      </c>
      <c r="E326" s="16" t="s">
        <v>742</v>
      </c>
      <c r="F326" s="13">
        <v>5.3253398577351785E-2</v>
      </c>
      <c r="H326" s="18"/>
      <c r="T326" s="18"/>
    </row>
    <row r="327" spans="1:20">
      <c r="A327" s="14">
        <v>325</v>
      </c>
      <c r="B327" s="16" t="s">
        <v>551</v>
      </c>
      <c r="C327" s="16" t="s">
        <v>1067</v>
      </c>
      <c r="D327" s="17">
        <v>9.1397512497977114E-4</v>
      </c>
      <c r="E327" s="16" t="s">
        <v>745</v>
      </c>
      <c r="F327" s="13">
        <v>0.1649551736738426</v>
      </c>
      <c r="H327" s="18"/>
      <c r="T327" s="18"/>
    </row>
    <row r="328" spans="1:20">
      <c r="A328" s="14">
        <v>326</v>
      </c>
      <c r="B328" s="16" t="s">
        <v>552</v>
      </c>
      <c r="C328" s="16" t="s">
        <v>1068</v>
      </c>
      <c r="D328" s="17">
        <v>2.9377236157229747E-4</v>
      </c>
      <c r="E328" s="16" t="s">
        <v>745</v>
      </c>
      <c r="F328" s="13">
        <v>0.13451843511903094</v>
      </c>
      <c r="H328" s="18"/>
      <c r="T328" s="18"/>
    </row>
    <row r="329" spans="1:20">
      <c r="A329" s="14">
        <v>327</v>
      </c>
      <c r="B329" s="16" t="s">
        <v>553</v>
      </c>
      <c r="C329" s="16" t="s">
        <v>1069</v>
      </c>
      <c r="D329" s="17">
        <v>1.1573955137151983E-3</v>
      </c>
      <c r="E329" s="16" t="s">
        <v>752</v>
      </c>
      <c r="F329" s="13">
        <v>0.10217517431580214</v>
      </c>
      <c r="H329" s="18"/>
      <c r="T329" s="18"/>
    </row>
    <row r="330" spans="1:20">
      <c r="A330" s="14">
        <v>328</v>
      </c>
      <c r="B330" s="16" t="s">
        <v>554</v>
      </c>
      <c r="C330" s="16" t="s">
        <v>1070</v>
      </c>
      <c r="D330" s="17">
        <v>7.5667672616841345E-4</v>
      </c>
      <c r="E330" s="16" t="s">
        <v>755</v>
      </c>
      <c r="F330" s="13">
        <v>0.19233573122121683</v>
      </c>
      <c r="H330" s="18"/>
      <c r="T330" s="18"/>
    </row>
    <row r="331" spans="1:20">
      <c r="A331" s="14">
        <v>329</v>
      </c>
      <c r="B331" s="16" t="s">
        <v>555</v>
      </c>
      <c r="C331" s="16" t="s">
        <v>1071</v>
      </c>
      <c r="D331" s="17">
        <v>2.3186197025118383E-3</v>
      </c>
      <c r="E331" s="16" t="s">
        <v>740</v>
      </c>
      <c r="F331" s="13">
        <v>0.17234638055693807</v>
      </c>
      <c r="H331" s="18"/>
      <c r="T331" s="18"/>
    </row>
    <row r="332" spans="1:20">
      <c r="A332" s="14">
        <v>330</v>
      </c>
      <c r="B332" s="16" t="s">
        <v>556</v>
      </c>
      <c r="C332" s="16" t="s">
        <v>1072</v>
      </c>
      <c r="D332" s="17">
        <v>3.6184794451325883E-4</v>
      </c>
      <c r="E332" s="16" t="s">
        <v>800</v>
      </c>
      <c r="F332" s="13">
        <v>-0.22487703957452443</v>
      </c>
      <c r="H332" s="18"/>
      <c r="T332" s="18"/>
    </row>
    <row r="333" spans="1:20">
      <c r="A333" s="14">
        <v>331</v>
      </c>
      <c r="B333" s="16" t="s">
        <v>557</v>
      </c>
      <c r="C333" s="16" t="s">
        <v>1073</v>
      </c>
      <c r="D333" s="17">
        <v>2.2430464553417173E-4</v>
      </c>
      <c r="E333" s="16" t="s">
        <v>755</v>
      </c>
      <c r="F333" s="13">
        <v>0.24691216098148661</v>
      </c>
      <c r="H333" s="18"/>
      <c r="T333" s="18"/>
    </row>
    <row r="334" spans="1:20">
      <c r="A334" s="14">
        <v>332</v>
      </c>
      <c r="B334" s="16" t="s">
        <v>558</v>
      </c>
      <c r="C334" s="16" t="s">
        <v>1074</v>
      </c>
      <c r="D334" s="17">
        <v>1.1241606829202606E-3</v>
      </c>
      <c r="E334" s="16" t="s">
        <v>742</v>
      </c>
      <c r="F334" s="13">
        <v>0.62996187485983413</v>
      </c>
      <c r="H334" s="18"/>
      <c r="T334" s="18"/>
    </row>
    <row r="335" spans="1:20">
      <c r="A335" s="14">
        <v>333</v>
      </c>
      <c r="B335" s="16" t="s">
        <v>559</v>
      </c>
      <c r="C335" s="16" t="s">
        <v>1075</v>
      </c>
      <c r="D335" s="17">
        <v>1.8590607295228905E-3</v>
      </c>
      <c r="E335" s="16" t="s">
        <v>736</v>
      </c>
      <c r="F335" s="13">
        <v>0.18387425246170164</v>
      </c>
      <c r="H335" s="18"/>
      <c r="T335" s="18"/>
    </row>
    <row r="336" spans="1:20">
      <c r="A336" s="14">
        <v>334</v>
      </c>
      <c r="B336" s="16" t="s">
        <v>560</v>
      </c>
      <c r="C336" s="16" t="s">
        <v>1076</v>
      </c>
      <c r="D336" s="17">
        <v>4.1445125269549998E-4</v>
      </c>
      <c r="E336" s="16" t="s">
        <v>740</v>
      </c>
      <c r="F336" s="13">
        <v>-0.20454530253787928</v>
      </c>
      <c r="H336" s="18"/>
      <c r="T336" s="18"/>
    </row>
    <row r="337" spans="1:20">
      <c r="A337" s="14">
        <v>335</v>
      </c>
      <c r="B337" s="16" t="s">
        <v>561</v>
      </c>
      <c r="C337" s="16" t="s">
        <v>1077</v>
      </c>
      <c r="D337" s="17">
        <v>2.7408491356055578E-4</v>
      </c>
      <c r="E337" s="16" t="s">
        <v>742</v>
      </c>
      <c r="F337" s="13">
        <v>-0.14262198706643103</v>
      </c>
      <c r="H337" s="18"/>
      <c r="T337" s="18"/>
    </row>
    <row r="338" spans="1:20">
      <c r="A338" s="14">
        <v>336</v>
      </c>
      <c r="B338" s="16" t="s">
        <v>562</v>
      </c>
      <c r="C338" s="16" t="s">
        <v>1078</v>
      </c>
      <c r="D338" s="17">
        <v>1.4605928174734529E-4</v>
      </c>
      <c r="E338" s="16" t="s">
        <v>755</v>
      </c>
      <c r="F338" s="13">
        <v>0.21047876451361414</v>
      </c>
      <c r="H338" s="18"/>
      <c r="T338" s="18"/>
    </row>
    <row r="339" spans="1:20">
      <c r="A339" s="14">
        <v>337</v>
      </c>
      <c r="B339" s="16" t="s">
        <v>563</v>
      </c>
      <c r="C339" s="16" t="s">
        <v>1079</v>
      </c>
      <c r="D339" s="17">
        <v>1.190772335117641E-3</v>
      </c>
      <c r="E339" s="16" t="s">
        <v>742</v>
      </c>
      <c r="F339" s="13">
        <v>0.67050004975581357</v>
      </c>
      <c r="H339" s="18"/>
      <c r="T339" s="18"/>
    </row>
    <row r="340" spans="1:20">
      <c r="A340" s="14">
        <v>338</v>
      </c>
      <c r="B340" s="16" t="s">
        <v>564</v>
      </c>
      <c r="C340" s="16" t="s">
        <v>1080</v>
      </c>
      <c r="D340" s="17">
        <v>8.7147861497316337E-3</v>
      </c>
      <c r="E340" s="16" t="s">
        <v>738</v>
      </c>
      <c r="F340" s="13">
        <v>-4.0414865337608519E-2</v>
      </c>
      <c r="H340" s="18"/>
      <c r="T340" s="18"/>
    </row>
    <row r="341" spans="1:20">
      <c r="A341" s="14">
        <v>339</v>
      </c>
      <c r="B341" s="16" t="s">
        <v>565</v>
      </c>
      <c r="C341" s="16" t="s">
        <v>1081</v>
      </c>
      <c r="D341" s="17">
        <v>1.4083934071966264E-3</v>
      </c>
      <c r="E341" s="16" t="s">
        <v>749</v>
      </c>
      <c r="F341" s="13">
        <v>-0.13101887732890638</v>
      </c>
      <c r="H341" s="18"/>
      <c r="T341" s="18"/>
    </row>
    <row r="342" spans="1:20">
      <c r="A342" s="14">
        <v>340</v>
      </c>
      <c r="B342" s="16" t="s">
        <v>566</v>
      </c>
      <c r="C342" s="16" t="s">
        <v>1082</v>
      </c>
      <c r="D342" s="17">
        <v>1.5872043845039169E-4</v>
      </c>
      <c r="E342" s="16" t="s">
        <v>738</v>
      </c>
      <c r="F342" s="13">
        <v>-0.21463629111412075</v>
      </c>
      <c r="H342" s="18"/>
      <c r="T342" s="18"/>
    </row>
    <row r="343" spans="1:20">
      <c r="A343" s="14">
        <v>341</v>
      </c>
      <c r="B343" s="16" t="s">
        <v>567</v>
      </c>
      <c r="C343" s="16" t="s">
        <v>1083</v>
      </c>
      <c r="D343" s="17">
        <v>4.0505437308507847E-4</v>
      </c>
      <c r="E343" s="16" t="s">
        <v>742</v>
      </c>
      <c r="F343" s="13">
        <v>-0.40789153991933536</v>
      </c>
      <c r="H343" s="18"/>
      <c r="T343" s="18"/>
    </row>
    <row r="344" spans="1:20">
      <c r="A344" s="14">
        <v>342</v>
      </c>
      <c r="B344" s="16" t="s">
        <v>568</v>
      </c>
      <c r="C344" s="16" t="s">
        <v>1084</v>
      </c>
      <c r="D344" s="17">
        <v>3.7459231545066725E-4</v>
      </c>
      <c r="E344" s="16" t="s">
        <v>736</v>
      </c>
      <c r="F344" s="13">
        <v>-0.27891931295275418</v>
      </c>
      <c r="H344" s="18"/>
      <c r="T344" s="18"/>
    </row>
    <row r="345" spans="1:20">
      <c r="A345" s="14">
        <v>343</v>
      </c>
      <c r="B345" s="16" t="s">
        <v>569</v>
      </c>
      <c r="C345" s="16" t="s">
        <v>1085</v>
      </c>
      <c r="D345" s="17">
        <v>6.6869945428137904E-4</v>
      </c>
      <c r="E345" s="16" t="s">
        <v>738</v>
      </c>
      <c r="F345" s="13">
        <v>3.8023621172531108E-2</v>
      </c>
      <c r="H345" s="18"/>
      <c r="T345" s="18"/>
    </row>
    <row r="346" spans="1:20">
      <c r="A346" s="14">
        <v>344</v>
      </c>
      <c r="B346" s="16" t="s">
        <v>570</v>
      </c>
      <c r="C346" s="16" t="s">
        <v>1086</v>
      </c>
      <c r="D346" s="17">
        <v>1.6335124151964219E-3</v>
      </c>
      <c r="E346" s="16" t="s">
        <v>742</v>
      </c>
      <c r="F346" s="13">
        <v>-0.32390640895218692</v>
      </c>
      <c r="H346" s="18"/>
      <c r="T346" s="18"/>
    </row>
    <row r="347" spans="1:20">
      <c r="A347" s="14">
        <v>345</v>
      </c>
      <c r="B347" s="16" t="s">
        <v>571</v>
      </c>
      <c r="C347" s="16" t="s">
        <v>1087</v>
      </c>
      <c r="D347" s="17">
        <v>3.6192933271335273E-4</v>
      </c>
      <c r="E347" s="16" t="s">
        <v>749</v>
      </c>
      <c r="F347" s="13">
        <v>-8.3778318499198035E-2</v>
      </c>
      <c r="H347" s="18"/>
      <c r="T347" s="18"/>
    </row>
    <row r="348" spans="1:20">
      <c r="A348" s="14">
        <v>346</v>
      </c>
      <c r="B348" s="16" t="s">
        <v>572</v>
      </c>
      <c r="C348" s="16" t="s">
        <v>1088</v>
      </c>
      <c r="D348" s="17">
        <v>8.3574009637044869E-4</v>
      </c>
      <c r="E348" s="16" t="s">
        <v>738</v>
      </c>
      <c r="F348" s="13">
        <v>-0.18731866322107993</v>
      </c>
      <c r="H348" s="18"/>
      <c r="T348" s="18"/>
    </row>
    <row r="349" spans="1:20">
      <c r="A349" s="14">
        <v>347</v>
      </c>
      <c r="B349" s="16" t="s">
        <v>573</v>
      </c>
      <c r="C349" s="16" t="s">
        <v>1089</v>
      </c>
      <c r="D349" s="17">
        <v>4.576379771587504E-4</v>
      </c>
      <c r="E349" s="16" t="s">
        <v>742</v>
      </c>
      <c r="F349" s="13">
        <v>-0.25264868220073433</v>
      </c>
      <c r="H349" s="18"/>
      <c r="T349" s="18"/>
    </row>
    <row r="350" spans="1:20">
      <c r="A350" s="14">
        <v>348</v>
      </c>
      <c r="B350" s="16" t="s">
        <v>574</v>
      </c>
      <c r="C350" s="16" t="s">
        <v>1090</v>
      </c>
      <c r="D350" s="17">
        <v>4.9159733736817328E-3</v>
      </c>
      <c r="E350" s="16" t="s">
        <v>742</v>
      </c>
      <c r="F350" s="13">
        <v>-0.18137138091266669</v>
      </c>
      <c r="H350" s="18"/>
      <c r="T350" s="18"/>
    </row>
    <row r="351" spans="1:20">
      <c r="A351" s="14">
        <v>349</v>
      </c>
      <c r="B351" s="16" t="s">
        <v>575</v>
      </c>
      <c r="C351" s="16" t="s">
        <v>1091</v>
      </c>
      <c r="D351" s="17">
        <v>3.0778336600308074E-2</v>
      </c>
      <c r="E351" s="16" t="s">
        <v>742</v>
      </c>
      <c r="F351" s="13">
        <v>0.19499896879809975</v>
      </c>
      <c r="H351" s="18"/>
      <c r="T351" s="18"/>
    </row>
    <row r="352" spans="1:20">
      <c r="A352" s="14">
        <v>350</v>
      </c>
      <c r="B352" s="16" t="s">
        <v>576</v>
      </c>
      <c r="C352" s="16" t="s">
        <v>1092</v>
      </c>
      <c r="D352" s="17">
        <v>3.0113483387091513E-4</v>
      </c>
      <c r="E352" s="16" t="s">
        <v>752</v>
      </c>
      <c r="F352" s="13">
        <v>-0.13943963419787964</v>
      </c>
      <c r="H352" s="18"/>
      <c r="T352" s="18"/>
    </row>
    <row r="353" spans="1:20">
      <c r="A353" s="14">
        <v>351</v>
      </c>
      <c r="B353" s="16" t="s">
        <v>577</v>
      </c>
      <c r="C353" s="16" t="s">
        <v>1093</v>
      </c>
      <c r="D353" s="17">
        <v>8.3099537635948216E-4</v>
      </c>
      <c r="E353" s="16" t="s">
        <v>761</v>
      </c>
      <c r="F353" s="13">
        <v>0.16907750155277546</v>
      </c>
      <c r="H353" s="18"/>
      <c r="T353" s="18"/>
    </row>
    <row r="354" spans="1:20">
      <c r="A354" s="14">
        <v>352</v>
      </c>
      <c r="B354" s="16" t="s">
        <v>578</v>
      </c>
      <c r="C354" s="16" t="s">
        <v>1094</v>
      </c>
      <c r="D354" s="17">
        <v>1.7130680328857567E-3</v>
      </c>
      <c r="E354" s="16" t="s">
        <v>742</v>
      </c>
      <c r="F354" s="13">
        <v>-0.30569298882289142</v>
      </c>
      <c r="H354" s="18"/>
      <c r="T354" s="18"/>
    </row>
    <row r="355" spans="1:20">
      <c r="A355" s="14">
        <v>353</v>
      </c>
      <c r="B355" s="16" t="s">
        <v>579</v>
      </c>
      <c r="C355" s="16" t="s">
        <v>1095</v>
      </c>
      <c r="D355" s="17">
        <v>2.1481969285536538E-4</v>
      </c>
      <c r="E355" s="16" t="s">
        <v>752</v>
      </c>
      <c r="F355" s="13">
        <v>-0.39870025141122356</v>
      </c>
      <c r="H355" s="18"/>
      <c r="T355" s="18"/>
    </row>
    <row r="356" spans="1:20">
      <c r="A356" s="14">
        <v>354</v>
      </c>
      <c r="B356" s="16" t="s">
        <v>580</v>
      </c>
      <c r="C356" s="16" t="s">
        <v>1096</v>
      </c>
      <c r="D356" s="17">
        <v>3.7660512219457235E-4</v>
      </c>
      <c r="E356" s="16" t="s">
        <v>740</v>
      </c>
      <c r="F356" s="13">
        <v>-0.22167044174144657</v>
      </c>
      <c r="H356" s="18"/>
      <c r="T356" s="18"/>
    </row>
    <row r="357" spans="1:20">
      <c r="A357" s="14">
        <v>355</v>
      </c>
      <c r="B357" s="16" t="s">
        <v>581</v>
      </c>
      <c r="C357" s="16" t="s">
        <v>1097</v>
      </c>
      <c r="D357" s="17">
        <v>1.1463900722439436E-3</v>
      </c>
      <c r="E357" s="16" t="s">
        <v>781</v>
      </c>
      <c r="F357" s="13">
        <v>0.51774962102939726</v>
      </c>
      <c r="H357" s="18"/>
      <c r="T357" s="18"/>
    </row>
    <row r="358" spans="1:20">
      <c r="A358" s="14">
        <v>356</v>
      </c>
      <c r="B358" s="16" t="s">
        <v>582</v>
      </c>
      <c r="C358" s="16" t="s">
        <v>1098</v>
      </c>
      <c r="D358" s="17">
        <v>1.5111883410240493E-4</v>
      </c>
      <c r="E358" s="16" t="s">
        <v>738</v>
      </c>
      <c r="F358" s="13">
        <v>0.3147542674987005</v>
      </c>
      <c r="H358" s="18"/>
      <c r="T358" s="18"/>
    </row>
    <row r="359" spans="1:20">
      <c r="A359" s="14">
        <v>357</v>
      </c>
      <c r="B359" s="16" t="s">
        <v>583</v>
      </c>
      <c r="C359" s="16" t="s">
        <v>1099</v>
      </c>
      <c r="D359" s="17">
        <v>1.0294234902823861E-3</v>
      </c>
      <c r="E359" s="16" t="s">
        <v>781</v>
      </c>
      <c r="F359" s="13">
        <v>0.23207853766095221</v>
      </c>
      <c r="H359" s="18"/>
      <c r="T359" s="18"/>
    </row>
    <row r="360" spans="1:20">
      <c r="A360" s="14">
        <v>358</v>
      </c>
      <c r="B360" s="16" t="s">
        <v>584</v>
      </c>
      <c r="C360" s="16" t="s">
        <v>1100</v>
      </c>
      <c r="D360" s="17">
        <v>3.6990342952831928E-3</v>
      </c>
      <c r="E360" s="16" t="s">
        <v>740</v>
      </c>
      <c r="F360" s="13">
        <v>-5.7068270088532325E-2</v>
      </c>
      <c r="H360" s="18"/>
      <c r="T360" s="18"/>
    </row>
    <row r="361" spans="1:20">
      <c r="A361" s="14">
        <v>359</v>
      </c>
      <c r="B361" s="16" t="s">
        <v>585</v>
      </c>
      <c r="C361" s="16" t="s">
        <v>1101</v>
      </c>
      <c r="D361" s="17">
        <v>1.0160415407864703E-2</v>
      </c>
      <c r="E361" s="16" t="s">
        <v>781</v>
      </c>
      <c r="F361" s="13">
        <v>0.28313597244740785</v>
      </c>
      <c r="H361" s="18"/>
      <c r="T361" s="18"/>
    </row>
    <row r="362" spans="1:20">
      <c r="A362" s="14">
        <v>360</v>
      </c>
      <c r="B362" s="16" t="s">
        <v>586</v>
      </c>
      <c r="C362" s="16" t="s">
        <v>1102</v>
      </c>
      <c r="D362" s="17">
        <v>4.3860330491901156E-4</v>
      </c>
      <c r="E362" s="16" t="s">
        <v>740</v>
      </c>
      <c r="F362" s="13">
        <v>-0.18031669881168311</v>
      </c>
      <c r="H362" s="18"/>
      <c r="T362" s="18"/>
    </row>
    <row r="363" spans="1:20">
      <c r="A363" s="14">
        <v>361</v>
      </c>
      <c r="B363" s="16" t="s">
        <v>587</v>
      </c>
      <c r="C363" s="16" t="s">
        <v>1103</v>
      </c>
      <c r="D363" s="17">
        <v>2.7667019720767575E-3</v>
      </c>
      <c r="E363" s="16" t="s">
        <v>742</v>
      </c>
      <c r="F363" s="13">
        <v>1.8236467371444287</v>
      </c>
      <c r="H363" s="18"/>
      <c r="T363" s="18"/>
    </row>
    <row r="364" spans="1:20">
      <c r="A364" s="14">
        <v>362</v>
      </c>
      <c r="B364" s="16" t="s">
        <v>588</v>
      </c>
      <c r="C364" s="16" t="s">
        <v>1104</v>
      </c>
      <c r="D364" s="17">
        <v>3.6034756786207297E-4</v>
      </c>
      <c r="E364" s="16" t="s">
        <v>781</v>
      </c>
      <c r="F364" s="13">
        <v>0.33378692135676191</v>
      </c>
      <c r="H364" s="18"/>
      <c r="T364" s="18"/>
    </row>
    <row r="365" spans="1:20">
      <c r="A365" s="14">
        <v>363</v>
      </c>
      <c r="B365" s="16" t="s">
        <v>589</v>
      </c>
      <c r="C365" s="16" t="s">
        <v>1105</v>
      </c>
      <c r="D365" s="17">
        <v>4.4056511601841515E-3</v>
      </c>
      <c r="E365" s="16" t="s">
        <v>740</v>
      </c>
      <c r="F365" s="13">
        <v>0.53808452576691179</v>
      </c>
      <c r="H365" s="18"/>
      <c r="T365" s="18"/>
    </row>
    <row r="366" spans="1:20">
      <c r="A366" s="14">
        <v>364</v>
      </c>
      <c r="B366" s="16" t="s">
        <v>590</v>
      </c>
      <c r="C366" s="16" t="s">
        <v>1106</v>
      </c>
      <c r="D366" s="17">
        <v>1.3937584287387792E-3</v>
      </c>
      <c r="E366" s="16" t="s">
        <v>745</v>
      </c>
      <c r="F366" s="13">
        <v>-0.21729892012037977</v>
      </c>
      <c r="H366" s="18"/>
      <c r="T366" s="18"/>
    </row>
    <row r="367" spans="1:20">
      <c r="A367" s="14">
        <v>365</v>
      </c>
      <c r="B367" s="16" t="s">
        <v>591</v>
      </c>
      <c r="C367" s="16" t="s">
        <v>1107</v>
      </c>
      <c r="D367" s="17">
        <v>4.0825655203269014E-4</v>
      </c>
      <c r="E367" s="16" t="s">
        <v>745</v>
      </c>
      <c r="F367" s="13">
        <v>4.5934684410610993E-2</v>
      </c>
      <c r="H367" s="18"/>
      <c r="T367" s="18"/>
    </row>
    <row r="368" spans="1:20">
      <c r="A368" s="14">
        <v>366</v>
      </c>
      <c r="B368" s="16" t="s">
        <v>592</v>
      </c>
      <c r="C368" s="16" t="s">
        <v>1108</v>
      </c>
      <c r="D368" s="17">
        <v>4.1065606459915346E-2</v>
      </c>
      <c r="E368" s="16" t="s">
        <v>752</v>
      </c>
      <c r="F368" s="13">
        <v>0.18525386313465764</v>
      </c>
      <c r="H368" s="18"/>
      <c r="T368" s="18"/>
    </row>
    <row r="369" spans="1:20">
      <c r="A369" s="14">
        <v>367</v>
      </c>
      <c r="B369" s="16" t="s">
        <v>593</v>
      </c>
      <c r="C369" s="16" t="s">
        <v>1109</v>
      </c>
      <c r="D369" s="17">
        <v>3.3657687020031464E-4</v>
      </c>
      <c r="E369" s="16" t="s">
        <v>740</v>
      </c>
      <c r="F369" s="13">
        <v>-0.12602656678956203</v>
      </c>
      <c r="H369" s="18"/>
      <c r="T369" s="18"/>
    </row>
    <row r="370" spans="1:20">
      <c r="A370" s="14">
        <v>368</v>
      </c>
      <c r="B370" s="16" t="s">
        <v>594</v>
      </c>
      <c r="C370" s="16" t="s">
        <v>1110</v>
      </c>
      <c r="D370" s="17">
        <v>7.0115007451222566E-2</v>
      </c>
      <c r="E370" s="16" t="s">
        <v>742</v>
      </c>
      <c r="F370" s="13">
        <v>0.12748745674425277</v>
      </c>
      <c r="H370" s="18"/>
      <c r="T370" s="18"/>
    </row>
    <row r="371" spans="1:20">
      <c r="A371" s="14">
        <v>369</v>
      </c>
      <c r="B371" s="16" t="s">
        <v>595</v>
      </c>
      <c r="C371" s="16" t="s">
        <v>1111</v>
      </c>
      <c r="D371" s="17">
        <v>5.8868027364669131E-4</v>
      </c>
      <c r="E371" s="16" t="s">
        <v>755</v>
      </c>
      <c r="F371" s="13">
        <v>0.54196525108121341</v>
      </c>
      <c r="H371" s="18"/>
      <c r="T371" s="18"/>
    </row>
    <row r="372" spans="1:20">
      <c r="A372" s="14">
        <v>370</v>
      </c>
      <c r="B372" s="16" t="s">
        <v>596</v>
      </c>
      <c r="C372" s="16" t="s">
        <v>1112</v>
      </c>
      <c r="D372" s="17">
        <v>3.5295081776773459E-4</v>
      </c>
      <c r="E372" s="16" t="s">
        <v>800</v>
      </c>
      <c r="F372" s="13">
        <v>0.16461200351278649</v>
      </c>
      <c r="H372" s="18"/>
      <c r="T372" s="18"/>
    </row>
    <row r="373" spans="1:20">
      <c r="A373" s="14">
        <v>371</v>
      </c>
      <c r="B373" s="16" t="s">
        <v>597</v>
      </c>
      <c r="C373" s="16" t="s">
        <v>1113</v>
      </c>
      <c r="D373" s="17">
        <v>1.3161063288363709E-3</v>
      </c>
      <c r="E373" s="16" t="s">
        <v>740</v>
      </c>
      <c r="F373" s="13">
        <v>0.33207679624123521</v>
      </c>
      <c r="H373" s="18"/>
      <c r="T373" s="18"/>
    </row>
    <row r="374" spans="1:20">
      <c r="A374" s="14">
        <v>372</v>
      </c>
      <c r="B374" s="16" t="s">
        <v>598</v>
      </c>
      <c r="C374" s="16" t="s">
        <v>1114</v>
      </c>
      <c r="D374" s="17">
        <v>1.8478322177772221E-4</v>
      </c>
      <c r="E374" s="16" t="s">
        <v>752</v>
      </c>
      <c r="F374" s="13">
        <v>-0.15948438928791875</v>
      </c>
      <c r="H374" s="18"/>
      <c r="T374" s="18"/>
    </row>
    <row r="375" spans="1:20">
      <c r="A375" s="14">
        <v>373</v>
      </c>
      <c r="B375" s="16" t="s">
        <v>599</v>
      </c>
      <c r="C375" s="16" t="s">
        <v>1115</v>
      </c>
      <c r="D375" s="17">
        <v>4.1608655958114013E-4</v>
      </c>
      <c r="E375" s="16" t="s">
        <v>738</v>
      </c>
      <c r="F375" s="13">
        <v>7.1908227879930564E-2</v>
      </c>
      <c r="H375" s="18"/>
      <c r="T375" s="18"/>
    </row>
    <row r="376" spans="1:20">
      <c r="A376" s="14">
        <v>374</v>
      </c>
      <c r="B376" s="16" t="s">
        <v>600</v>
      </c>
      <c r="C376" s="16" t="s">
        <v>1116</v>
      </c>
      <c r="D376" s="17">
        <v>1.2923763420990032E-2</v>
      </c>
      <c r="E376" s="16" t="s">
        <v>736</v>
      </c>
      <c r="F376" s="13">
        <v>-3.2564182787946705E-2</v>
      </c>
      <c r="H376" s="18"/>
      <c r="T376" s="18"/>
    </row>
    <row r="377" spans="1:20">
      <c r="A377" s="14">
        <v>375</v>
      </c>
      <c r="B377" s="16" t="s">
        <v>601</v>
      </c>
      <c r="C377" s="16" t="s">
        <v>1117</v>
      </c>
      <c r="D377" s="17">
        <v>5.2499716980236642E-4</v>
      </c>
      <c r="E377" s="16" t="s">
        <v>800</v>
      </c>
      <c r="F377" s="13">
        <v>3.1670358189670456E-2</v>
      </c>
      <c r="H377" s="18"/>
      <c r="T377" s="18"/>
    </row>
    <row r="378" spans="1:20">
      <c r="A378" s="14">
        <v>376</v>
      </c>
      <c r="B378" s="16" t="s">
        <v>602</v>
      </c>
      <c r="C378" s="16" t="s">
        <v>1118</v>
      </c>
      <c r="D378" s="17">
        <v>1.188956222651186E-3</v>
      </c>
      <c r="E378" s="16" t="s">
        <v>740</v>
      </c>
      <c r="F378" s="13">
        <v>1.1062906854582E-3</v>
      </c>
      <c r="H378" s="18"/>
      <c r="T378" s="18"/>
    </row>
    <row r="379" spans="1:20">
      <c r="A379" s="14">
        <v>377</v>
      </c>
      <c r="B379" s="16" t="s">
        <v>603</v>
      </c>
      <c r="C379" s="16" t="s">
        <v>1119</v>
      </c>
      <c r="D379" s="17">
        <v>3.7620538435774557E-3</v>
      </c>
      <c r="E379" s="16" t="s">
        <v>761</v>
      </c>
      <c r="F379" s="13">
        <v>0.20300042653594219</v>
      </c>
      <c r="H379" s="18"/>
      <c r="T379" s="18"/>
    </row>
    <row r="380" spans="1:20">
      <c r="A380" s="14">
        <v>378</v>
      </c>
      <c r="B380" s="16" t="s">
        <v>604</v>
      </c>
      <c r="C380" s="16" t="s">
        <v>1120</v>
      </c>
      <c r="D380" s="17">
        <v>1.3429621098107533E-2</v>
      </c>
      <c r="E380" s="16" t="s">
        <v>742</v>
      </c>
      <c r="F380" s="13">
        <v>1.417269786860488</v>
      </c>
      <c r="H380" s="18"/>
      <c r="T380" s="18"/>
    </row>
    <row r="381" spans="1:20">
      <c r="A381" s="14">
        <v>379</v>
      </c>
      <c r="B381" s="16" t="s">
        <v>605</v>
      </c>
      <c r="C381" s="16" t="s">
        <v>1121</v>
      </c>
      <c r="D381" s="17">
        <v>3.1479167226462171E-4</v>
      </c>
      <c r="E381" s="16" t="s">
        <v>800</v>
      </c>
      <c r="F381" s="13">
        <v>-1.9118487843394982E-2</v>
      </c>
      <c r="H381" s="18"/>
      <c r="T381" s="18"/>
    </row>
    <row r="382" spans="1:20">
      <c r="A382" s="14">
        <v>380</v>
      </c>
      <c r="B382" s="16" t="s">
        <v>606</v>
      </c>
      <c r="C382" s="16" t="s">
        <v>1122</v>
      </c>
      <c r="D382" s="17">
        <v>2.5622843757291421E-4</v>
      </c>
      <c r="E382" s="16" t="s">
        <v>800</v>
      </c>
      <c r="F382" s="13">
        <v>0.30777034150638127</v>
      </c>
      <c r="H382" s="18"/>
      <c r="T382" s="18"/>
    </row>
    <row r="383" spans="1:20">
      <c r="A383" s="14">
        <v>381</v>
      </c>
      <c r="B383" s="16" t="s">
        <v>607</v>
      </c>
      <c r="C383" s="16" t="s">
        <v>1123</v>
      </c>
      <c r="D383" s="17">
        <v>5.2190802760049108E-3</v>
      </c>
      <c r="E383" s="16" t="s">
        <v>800</v>
      </c>
      <c r="F383" s="13">
        <v>2.5954528912069508E-2</v>
      </c>
      <c r="H383" s="18"/>
      <c r="T383" s="18"/>
    </row>
    <row r="384" spans="1:20">
      <c r="A384" s="14">
        <v>382</v>
      </c>
      <c r="B384" s="16" t="s">
        <v>608</v>
      </c>
      <c r="C384" s="16" t="s">
        <v>1124</v>
      </c>
      <c r="D384" s="17">
        <v>3.3378164072398776E-4</v>
      </c>
      <c r="E384" s="16" t="s">
        <v>736</v>
      </c>
      <c r="F384" s="13">
        <v>1.8782874408998618E-2</v>
      </c>
      <c r="H384" s="18"/>
      <c r="T384" s="18"/>
    </row>
    <row r="385" spans="1:20">
      <c r="A385" s="14">
        <v>383</v>
      </c>
      <c r="B385" s="16" t="s">
        <v>609</v>
      </c>
      <c r="C385" s="16" t="s">
        <v>1125</v>
      </c>
      <c r="D385" s="17">
        <v>5.1464386408734981E-4</v>
      </c>
      <c r="E385" s="16" t="s">
        <v>800</v>
      </c>
      <c r="F385" s="13">
        <v>-1.4414207973058923E-2</v>
      </c>
      <c r="H385" s="18"/>
      <c r="T385" s="18"/>
    </row>
    <row r="386" spans="1:20">
      <c r="A386" s="14">
        <v>384</v>
      </c>
      <c r="B386" s="16" t="s">
        <v>610</v>
      </c>
      <c r="C386" s="16" t="s">
        <v>1126</v>
      </c>
      <c r="D386" s="17">
        <v>3.0925858513258531E-4</v>
      </c>
      <c r="E386" s="16" t="s">
        <v>761</v>
      </c>
      <c r="F386" s="13">
        <v>-2.6884380857369883E-2</v>
      </c>
      <c r="H386" s="18"/>
      <c r="T386" s="18"/>
    </row>
    <row r="387" spans="1:20">
      <c r="A387" s="14">
        <v>385</v>
      </c>
      <c r="B387" s="16" t="s">
        <v>611</v>
      </c>
      <c r="C387" s="16" t="s">
        <v>1127</v>
      </c>
      <c r="D387" s="17">
        <v>4.1135475154385618E-4</v>
      </c>
      <c r="E387" s="16" t="s">
        <v>738</v>
      </c>
      <c r="F387" s="13">
        <v>-7.7100029667216408E-2</v>
      </c>
      <c r="H387" s="18"/>
      <c r="T387" s="18"/>
    </row>
    <row r="388" spans="1:20">
      <c r="A388" s="14">
        <v>386</v>
      </c>
      <c r="B388" s="16" t="s">
        <v>612</v>
      </c>
      <c r="C388" s="16" t="s">
        <v>1128</v>
      </c>
      <c r="D388" s="17">
        <v>1.9123967810171201E-3</v>
      </c>
      <c r="E388" s="16" t="s">
        <v>752</v>
      </c>
      <c r="F388" s="13">
        <v>-0.1112636300894887</v>
      </c>
      <c r="H388" s="18"/>
      <c r="T388" s="18"/>
    </row>
    <row r="389" spans="1:20">
      <c r="A389" s="14">
        <v>387</v>
      </c>
      <c r="B389" s="16" t="s">
        <v>613</v>
      </c>
      <c r="C389" s="16" t="s">
        <v>1129</v>
      </c>
      <c r="D389" s="17">
        <v>1.381738495386997E-3</v>
      </c>
      <c r="E389" s="16" t="s">
        <v>738</v>
      </c>
      <c r="F389" s="13">
        <v>4.8620238931167403E-2</v>
      </c>
      <c r="H389" s="18"/>
      <c r="T389" s="18"/>
    </row>
    <row r="390" spans="1:20">
      <c r="A390" s="14">
        <v>388</v>
      </c>
      <c r="B390" s="16" t="s">
        <v>614</v>
      </c>
      <c r="C390" s="16" t="s">
        <v>1130</v>
      </c>
      <c r="D390" s="17">
        <v>2.4027476766726656E-3</v>
      </c>
      <c r="E390" s="16" t="s">
        <v>738</v>
      </c>
      <c r="F390" s="13">
        <v>-1.3760074138086664E-2</v>
      </c>
      <c r="H390" s="18"/>
      <c r="T390" s="18"/>
    </row>
    <row r="391" spans="1:20">
      <c r="A391" s="14">
        <v>389</v>
      </c>
      <c r="B391" s="16" t="s">
        <v>615</v>
      </c>
      <c r="C391" s="16" t="s">
        <v>1131</v>
      </c>
      <c r="D391" s="17">
        <v>5.7761122902705157E-4</v>
      </c>
      <c r="E391" s="16" t="s">
        <v>800</v>
      </c>
      <c r="F391" s="13">
        <v>6.836019047150077E-2</v>
      </c>
      <c r="H391" s="18"/>
      <c r="T391" s="18"/>
    </row>
    <row r="392" spans="1:20">
      <c r="A392" s="14">
        <v>390</v>
      </c>
      <c r="B392" s="16" t="s">
        <v>616</v>
      </c>
      <c r="C392" s="16" t="s">
        <v>1132</v>
      </c>
      <c r="D392" s="17">
        <v>2.6352387924852413E-4</v>
      </c>
      <c r="E392" s="16" t="s">
        <v>752</v>
      </c>
      <c r="F392" s="13">
        <v>-0.37413565930021964</v>
      </c>
      <c r="H392" s="18"/>
      <c r="T392" s="18"/>
    </row>
    <row r="393" spans="1:20">
      <c r="A393" s="14">
        <v>391</v>
      </c>
      <c r="B393" s="16" t="s">
        <v>617</v>
      </c>
      <c r="C393" s="16" t="s">
        <v>1133</v>
      </c>
      <c r="D393" s="17">
        <v>2.9388456818327359E-3</v>
      </c>
      <c r="E393" s="16" t="s">
        <v>742</v>
      </c>
      <c r="F393" s="13">
        <v>0.40811257358045827</v>
      </c>
      <c r="H393" s="18"/>
      <c r="T393" s="18"/>
    </row>
    <row r="394" spans="1:20">
      <c r="A394" s="14">
        <v>392</v>
      </c>
      <c r="B394" s="16" t="s">
        <v>618</v>
      </c>
      <c r="C394" s="16" t="s">
        <v>1134</v>
      </c>
      <c r="D394" s="17">
        <v>4.6689871524711857E-4</v>
      </c>
      <c r="E394" s="16" t="s">
        <v>745</v>
      </c>
      <c r="F394" s="13">
        <v>0.11132244170967209</v>
      </c>
      <c r="H394" s="18"/>
      <c r="T394" s="18"/>
    </row>
    <row r="395" spans="1:20">
      <c r="A395" s="14">
        <v>393</v>
      </c>
      <c r="B395" s="16" t="s">
        <v>619</v>
      </c>
      <c r="C395" s="16" t="s">
        <v>1135</v>
      </c>
      <c r="D395" s="17">
        <v>9.2952629830058775E-4</v>
      </c>
      <c r="E395" s="16" t="s">
        <v>742</v>
      </c>
      <c r="F395" s="13">
        <v>-0.12879373989904874</v>
      </c>
      <c r="H395" s="18"/>
      <c r="T395" s="18"/>
    </row>
    <row r="396" spans="1:20">
      <c r="A396" s="14">
        <v>394</v>
      </c>
      <c r="B396" s="16" t="s">
        <v>620</v>
      </c>
      <c r="C396" s="16" t="s">
        <v>1136</v>
      </c>
      <c r="D396" s="17">
        <v>2.3990055541090315E-4</v>
      </c>
      <c r="E396" s="16" t="s">
        <v>740</v>
      </c>
      <c r="F396" s="13">
        <v>0.19342000871125675</v>
      </c>
      <c r="H396" s="18"/>
      <c r="T396" s="18"/>
    </row>
    <row r="397" spans="1:20">
      <c r="A397" s="14">
        <v>395</v>
      </c>
      <c r="B397" s="16" t="s">
        <v>621</v>
      </c>
      <c r="C397" s="16" t="s">
        <v>1137</v>
      </c>
      <c r="D397" s="17">
        <v>1.9965279411691527E-4</v>
      </c>
      <c r="E397" s="16" t="s">
        <v>749</v>
      </c>
      <c r="F397" s="13">
        <v>-7.0367171885244661E-2</v>
      </c>
      <c r="H397" s="18"/>
      <c r="T397" s="18"/>
    </row>
    <row r="398" spans="1:20">
      <c r="A398" s="14">
        <v>396</v>
      </c>
      <c r="B398" s="16" t="s">
        <v>622</v>
      </c>
      <c r="C398" s="16" t="s">
        <v>1138</v>
      </c>
      <c r="D398" s="17">
        <v>3.5637974066539328E-3</v>
      </c>
      <c r="E398" s="16" t="s">
        <v>742</v>
      </c>
      <c r="F398" s="13">
        <v>4.6032553407934902</v>
      </c>
      <c r="H398" s="18"/>
      <c r="T398" s="18"/>
    </row>
    <row r="399" spans="1:20">
      <c r="A399" s="14">
        <v>397</v>
      </c>
      <c r="B399" s="16" t="s">
        <v>623</v>
      </c>
      <c r="C399" s="16" t="s">
        <v>1139</v>
      </c>
      <c r="D399" s="17">
        <v>4.9905570657114825E-4</v>
      </c>
      <c r="E399" s="16" t="s">
        <v>742</v>
      </c>
      <c r="F399" s="13">
        <v>0.7987339251802501</v>
      </c>
      <c r="H399" s="18"/>
      <c r="T399" s="18"/>
    </row>
    <row r="400" spans="1:20">
      <c r="A400" s="14">
        <v>398</v>
      </c>
      <c r="B400" s="16" t="s">
        <v>624</v>
      </c>
      <c r="C400" s="16" t="s">
        <v>1140</v>
      </c>
      <c r="D400" s="17">
        <v>5.0426199652689964E-5</v>
      </c>
      <c r="E400" s="16" t="s">
        <v>749</v>
      </c>
      <c r="F400" s="13">
        <v>-0.21592524558741355</v>
      </c>
      <c r="H400" s="18"/>
      <c r="T400" s="18"/>
    </row>
    <row r="401" spans="1:20">
      <c r="A401" s="14">
        <v>399</v>
      </c>
      <c r="B401" s="16" t="s">
        <v>625</v>
      </c>
      <c r="C401" s="16" t="s">
        <v>1141</v>
      </c>
      <c r="D401" s="17">
        <v>2.1043013059170866E-3</v>
      </c>
      <c r="E401" s="16" t="s">
        <v>755</v>
      </c>
      <c r="F401" s="13">
        <v>0.12973057226326357</v>
      </c>
      <c r="H401" s="18"/>
      <c r="T401" s="18"/>
    </row>
    <row r="402" spans="1:20">
      <c r="A402" s="14">
        <v>400</v>
      </c>
      <c r="B402" s="16" t="s">
        <v>626</v>
      </c>
      <c r="C402" s="16" t="s">
        <v>1142</v>
      </c>
      <c r="D402" s="17">
        <v>3.3604717709273197E-8</v>
      </c>
      <c r="E402" s="16" t="s">
        <v>738</v>
      </c>
      <c r="F402" s="13">
        <v>0</v>
      </c>
      <c r="H402" s="18"/>
      <c r="T402" s="18"/>
    </row>
    <row r="403" spans="1:20">
      <c r="A403" s="14">
        <v>401</v>
      </c>
      <c r="B403" s="16" t="s">
        <v>627</v>
      </c>
      <c r="C403" s="16" t="s">
        <v>1143</v>
      </c>
      <c r="D403" s="17">
        <v>3.8317955124399802E-4</v>
      </c>
      <c r="E403" s="16" t="s">
        <v>740</v>
      </c>
      <c r="F403" s="13">
        <v>-1.6642036102245683E-3</v>
      </c>
      <c r="H403" s="18"/>
      <c r="T403" s="18"/>
    </row>
    <row r="404" spans="1:20">
      <c r="A404" s="14">
        <v>402</v>
      </c>
      <c r="B404" s="16" t="s">
        <v>628</v>
      </c>
      <c r="C404" s="16" t="s">
        <v>1144</v>
      </c>
      <c r="D404" s="17">
        <v>1.6722779171554341E-3</v>
      </c>
      <c r="E404" s="16" t="s">
        <v>740</v>
      </c>
      <c r="F404" s="13">
        <v>0.63084666885203222</v>
      </c>
      <c r="H404" s="18"/>
      <c r="T404" s="18"/>
    </row>
    <row r="405" spans="1:20">
      <c r="A405" s="14">
        <v>403</v>
      </c>
      <c r="B405" s="16" t="s">
        <v>629</v>
      </c>
      <c r="C405" s="16" t="s">
        <v>1145</v>
      </c>
      <c r="D405" s="17">
        <v>2.3894915372784319E-3</v>
      </c>
      <c r="E405" s="16" t="s">
        <v>736</v>
      </c>
      <c r="F405" s="13">
        <v>-0.28524954463432617</v>
      </c>
      <c r="H405" s="18"/>
      <c r="T405" s="18"/>
    </row>
    <row r="406" spans="1:20">
      <c r="A406" s="14">
        <v>404</v>
      </c>
      <c r="B406" s="16" t="s">
        <v>630</v>
      </c>
      <c r="C406" s="16" t="s">
        <v>1146</v>
      </c>
      <c r="D406" s="17">
        <v>1.5303636157130542E-3</v>
      </c>
      <c r="E406" s="16" t="s">
        <v>742</v>
      </c>
      <c r="F406" s="13">
        <v>0.15483247422680391</v>
      </c>
      <c r="H406" s="18"/>
      <c r="T406" s="18"/>
    </row>
    <row r="407" spans="1:20">
      <c r="A407" s="14">
        <v>405</v>
      </c>
      <c r="B407" s="16" t="s">
        <v>631</v>
      </c>
      <c r="C407" s="16" t="s">
        <v>1147</v>
      </c>
      <c r="D407" s="17">
        <v>1.1480785706533048E-2</v>
      </c>
      <c r="E407" s="16" t="s">
        <v>742</v>
      </c>
      <c r="F407" s="13">
        <v>1.0118584149997778</v>
      </c>
      <c r="H407" s="18"/>
      <c r="T407" s="18"/>
    </row>
    <row r="408" spans="1:20">
      <c r="A408" s="14">
        <v>406</v>
      </c>
      <c r="B408" s="16" t="s">
        <v>632</v>
      </c>
      <c r="C408" s="16" t="s">
        <v>1148</v>
      </c>
      <c r="D408" s="17">
        <v>1.0149972701860811E-3</v>
      </c>
      <c r="E408" s="16" t="s">
        <v>761</v>
      </c>
      <c r="F408" s="13">
        <v>0.16582725591873793</v>
      </c>
      <c r="H408" s="18"/>
      <c r="T408" s="18"/>
    </row>
    <row r="409" spans="1:20">
      <c r="A409" s="14">
        <v>407</v>
      </c>
      <c r="B409" s="16" t="s">
        <v>633</v>
      </c>
      <c r="C409" s="16" t="s">
        <v>1149</v>
      </c>
      <c r="D409" s="17">
        <v>9.8575393975589682E-4</v>
      </c>
      <c r="E409" s="16" t="s">
        <v>755</v>
      </c>
      <c r="F409" s="13">
        <v>0.26162405969490021</v>
      </c>
      <c r="H409" s="18"/>
      <c r="T409" s="18"/>
    </row>
    <row r="410" spans="1:20">
      <c r="A410" s="14">
        <v>408</v>
      </c>
      <c r="B410" s="16" t="s">
        <v>634</v>
      </c>
      <c r="C410" s="16" t="s">
        <v>1150</v>
      </c>
      <c r="D410" s="17">
        <v>2.2241764239809073E-3</v>
      </c>
      <c r="E410" s="16" t="s">
        <v>740</v>
      </c>
      <c r="F410" s="13">
        <v>0.15452497894223427</v>
      </c>
      <c r="H410" s="18"/>
      <c r="T410" s="18"/>
    </row>
    <row r="411" spans="1:20">
      <c r="A411" s="14">
        <v>409</v>
      </c>
      <c r="B411" s="16" t="s">
        <v>635</v>
      </c>
      <c r="C411" s="16" t="s">
        <v>1151</v>
      </c>
      <c r="D411" s="17">
        <v>3.7801878064660809E-3</v>
      </c>
      <c r="E411" s="16" t="s">
        <v>742</v>
      </c>
      <c r="F411" s="13">
        <v>0.44921113773174404</v>
      </c>
      <c r="H411" s="18"/>
      <c r="T411" s="18"/>
    </row>
    <row r="412" spans="1:20">
      <c r="A412" s="14">
        <v>410</v>
      </c>
      <c r="B412" s="16" t="s">
        <v>636</v>
      </c>
      <c r="C412" s="16" t="s">
        <v>1152</v>
      </c>
      <c r="D412" s="17">
        <v>2.746412051347956E-4</v>
      </c>
      <c r="E412" s="16" t="s">
        <v>755</v>
      </c>
      <c r="F412" s="13">
        <v>7.7232818883471666E-2</v>
      </c>
      <c r="H412" s="18"/>
      <c r="T412" s="18"/>
    </row>
    <row r="413" spans="1:20">
      <c r="A413" s="14">
        <v>411</v>
      </c>
      <c r="B413" s="16" t="s">
        <v>637</v>
      </c>
      <c r="C413" s="16" t="s">
        <v>1153</v>
      </c>
      <c r="D413" s="17">
        <v>1.0982282920763858E-3</v>
      </c>
      <c r="E413" s="16" t="s">
        <v>745</v>
      </c>
      <c r="F413" s="13">
        <v>0.13616326175076354</v>
      </c>
      <c r="H413" s="18"/>
      <c r="T413" s="18"/>
    </row>
    <row r="414" spans="1:20">
      <c r="A414" s="14">
        <v>412</v>
      </c>
      <c r="B414" s="16" t="s">
        <v>638</v>
      </c>
      <c r="C414" s="16" t="s">
        <v>1154</v>
      </c>
      <c r="D414" s="17">
        <v>5.8028849596507618E-4</v>
      </c>
      <c r="E414" s="16" t="s">
        <v>800</v>
      </c>
      <c r="F414" s="13">
        <v>0.32473966299258805</v>
      </c>
      <c r="H414" s="18"/>
      <c r="T414" s="18"/>
    </row>
    <row r="415" spans="1:20">
      <c r="A415" s="14">
        <v>413</v>
      </c>
      <c r="B415" s="16" t="s">
        <v>639</v>
      </c>
      <c r="C415" s="16" t="s">
        <v>1155</v>
      </c>
      <c r="D415" s="17">
        <v>6.1021058420612046E-4</v>
      </c>
      <c r="E415" s="16" t="s">
        <v>800</v>
      </c>
      <c r="F415" s="13">
        <v>7.6187735135001322E-2</v>
      </c>
      <c r="H415" s="18"/>
      <c r="T415" s="18"/>
    </row>
    <row r="416" spans="1:20">
      <c r="A416" s="14">
        <v>414</v>
      </c>
      <c r="B416" s="16" t="s">
        <v>640</v>
      </c>
      <c r="C416" s="16" t="s">
        <v>1156</v>
      </c>
      <c r="D416" s="17">
        <v>4.5988369613153486E-4</v>
      </c>
      <c r="E416" s="16" t="s">
        <v>745</v>
      </c>
      <c r="F416" s="13">
        <v>5.3593276694403613E-2</v>
      </c>
      <c r="H416" s="18"/>
      <c r="T416" s="18"/>
    </row>
    <row r="417" spans="1:20">
      <c r="A417" s="14">
        <v>415</v>
      </c>
      <c r="B417" s="16" t="s">
        <v>641</v>
      </c>
      <c r="C417" s="16" t="s">
        <v>1157</v>
      </c>
      <c r="D417" s="17">
        <v>1.5417648399958182E-4</v>
      </c>
      <c r="E417" s="16" t="s">
        <v>736</v>
      </c>
      <c r="F417" s="13">
        <v>-2.3623478468840275E-2</v>
      </c>
      <c r="H417" s="18"/>
      <c r="T417" s="18"/>
    </row>
    <row r="418" spans="1:20">
      <c r="A418" s="14">
        <v>416</v>
      </c>
      <c r="B418" s="16" t="s">
        <v>642</v>
      </c>
      <c r="C418" s="16" t="s">
        <v>1158</v>
      </c>
      <c r="D418" s="17">
        <v>6.508492640823364E-4</v>
      </c>
      <c r="E418" s="16" t="s">
        <v>736</v>
      </c>
      <c r="F418" s="13">
        <v>-0.24496233534390333</v>
      </c>
      <c r="H418" s="18"/>
      <c r="T418" s="18"/>
    </row>
    <row r="419" spans="1:20">
      <c r="A419" s="14">
        <v>417</v>
      </c>
      <c r="B419" s="16" t="s">
        <v>643</v>
      </c>
      <c r="C419" s="16" t="s">
        <v>1159</v>
      </c>
      <c r="D419" s="17">
        <v>2.3612169315873153E-3</v>
      </c>
      <c r="E419" s="16" t="s">
        <v>755</v>
      </c>
      <c r="F419" s="13">
        <v>0.16350846135651231</v>
      </c>
      <c r="H419" s="18"/>
      <c r="T419" s="18"/>
    </row>
    <row r="420" spans="1:20">
      <c r="A420" s="14">
        <v>418</v>
      </c>
      <c r="B420" s="16" t="s">
        <v>644</v>
      </c>
      <c r="C420" s="16" t="s">
        <v>1160</v>
      </c>
      <c r="D420" s="17">
        <v>3.1871537711513579E-3</v>
      </c>
      <c r="E420" s="16" t="s">
        <v>749</v>
      </c>
      <c r="F420" s="13">
        <v>0.23051868144768561</v>
      </c>
      <c r="H420" s="18"/>
      <c r="T420" s="18"/>
    </row>
    <row r="421" spans="1:20">
      <c r="A421" s="14">
        <v>419</v>
      </c>
      <c r="B421" s="16" t="s">
        <v>645</v>
      </c>
      <c r="C421" s="16" t="s">
        <v>1161</v>
      </c>
      <c r="D421" s="17">
        <v>4.5938367639683604E-3</v>
      </c>
      <c r="E421" s="16" t="s">
        <v>800</v>
      </c>
      <c r="F421" s="13">
        <v>0.18624927834894978</v>
      </c>
      <c r="H421" s="18"/>
      <c r="T421" s="18"/>
    </row>
    <row r="422" spans="1:20">
      <c r="A422" s="14">
        <v>420</v>
      </c>
      <c r="B422" s="16" t="s">
        <v>646</v>
      </c>
      <c r="C422" s="16" t="s">
        <v>1162</v>
      </c>
      <c r="D422" s="17">
        <v>1.877012332435955E-4</v>
      </c>
      <c r="E422" s="16" t="s">
        <v>752</v>
      </c>
      <c r="F422" s="13">
        <v>-0.10232309505769577</v>
      </c>
      <c r="H422" s="18"/>
      <c r="T422" s="18"/>
    </row>
    <row r="423" spans="1:20">
      <c r="A423" s="14">
        <v>421</v>
      </c>
      <c r="B423" s="16" t="s">
        <v>647</v>
      </c>
      <c r="C423" s="16" t="s">
        <v>1163</v>
      </c>
      <c r="D423" s="17">
        <v>2.3636059474977595E-4</v>
      </c>
      <c r="E423" s="16" t="s">
        <v>752</v>
      </c>
      <c r="F423" s="13">
        <v>-0.23332614135510876</v>
      </c>
      <c r="H423" s="18"/>
      <c r="T423" s="18"/>
    </row>
    <row r="424" spans="1:20">
      <c r="A424" s="14">
        <v>422</v>
      </c>
      <c r="B424" s="16" t="s">
        <v>648</v>
      </c>
      <c r="C424" s="16" t="s">
        <v>1164</v>
      </c>
      <c r="D424" s="17">
        <v>2.9102554589829351E-4</v>
      </c>
      <c r="E424" s="16" t="s">
        <v>738</v>
      </c>
      <c r="F424" s="13">
        <v>4.3783162813004983E-2</v>
      </c>
      <c r="H424" s="18"/>
      <c r="T424" s="18"/>
    </row>
    <row r="425" spans="1:20">
      <c r="A425" s="14">
        <v>423</v>
      </c>
      <c r="B425" s="16" t="s">
        <v>649</v>
      </c>
      <c r="C425" s="16" t="s">
        <v>1165</v>
      </c>
      <c r="D425" s="17">
        <v>1.3284433855752192E-3</v>
      </c>
      <c r="E425" s="16" t="s">
        <v>736</v>
      </c>
      <c r="F425" s="13">
        <v>-0.39657903072537215</v>
      </c>
      <c r="H425" s="18"/>
      <c r="T425" s="18"/>
    </row>
    <row r="426" spans="1:20">
      <c r="A426" s="14">
        <v>424</v>
      </c>
      <c r="B426" s="16" t="s">
        <v>650</v>
      </c>
      <c r="C426" s="16" t="s">
        <v>1166</v>
      </c>
      <c r="D426" s="17">
        <v>2.4018158445790094E-3</v>
      </c>
      <c r="E426" s="16" t="s">
        <v>742</v>
      </c>
      <c r="F426" s="13">
        <v>0.11220059880239619</v>
      </c>
      <c r="H426" s="18"/>
      <c r="T426" s="18"/>
    </row>
    <row r="427" spans="1:20">
      <c r="A427" s="14">
        <v>425</v>
      </c>
      <c r="B427" s="16" t="s">
        <v>651</v>
      </c>
      <c r="C427" s="16" t="s">
        <v>1167</v>
      </c>
      <c r="D427" s="17">
        <v>2.8090753391041284E-4</v>
      </c>
      <c r="E427" s="16" t="s">
        <v>800</v>
      </c>
      <c r="F427" s="13">
        <v>-0.24520377144351557</v>
      </c>
      <c r="H427" s="18"/>
      <c r="T427" s="18"/>
    </row>
    <row r="428" spans="1:20">
      <c r="A428" s="14">
        <v>426</v>
      </c>
      <c r="B428" s="16" t="s">
        <v>652</v>
      </c>
      <c r="C428" s="16" t="s">
        <v>1168</v>
      </c>
      <c r="D428" s="17">
        <v>1.3019294426102305E-4</v>
      </c>
      <c r="E428" s="16" t="s">
        <v>752</v>
      </c>
      <c r="F428" s="13">
        <v>-0.19206796675860105</v>
      </c>
      <c r="H428" s="18"/>
      <c r="T428" s="18"/>
    </row>
    <row r="429" spans="1:20">
      <c r="A429" s="14">
        <v>427</v>
      </c>
      <c r="B429" s="16" t="s">
        <v>653</v>
      </c>
      <c r="C429" s="16" t="s">
        <v>1169</v>
      </c>
      <c r="D429" s="17">
        <v>1.9011168616351276E-3</v>
      </c>
      <c r="E429" s="16" t="s">
        <v>736</v>
      </c>
      <c r="F429" s="13">
        <v>0.12569157269940257</v>
      </c>
      <c r="H429" s="18"/>
      <c r="T429" s="18"/>
    </row>
    <row r="430" spans="1:20">
      <c r="A430" s="14">
        <v>428</v>
      </c>
      <c r="B430" s="16" t="s">
        <v>654</v>
      </c>
      <c r="C430" s="16" t="s">
        <v>1170</v>
      </c>
      <c r="D430" s="17">
        <v>6.23562872028001E-5</v>
      </c>
      <c r="E430" s="16" t="s">
        <v>800</v>
      </c>
      <c r="F430" s="13">
        <v>-0.25275971546727671</v>
      </c>
      <c r="H430" s="18"/>
      <c r="T430" s="18"/>
    </row>
    <row r="431" spans="1:20">
      <c r="A431" s="14">
        <v>429</v>
      </c>
      <c r="B431" s="16" t="s">
        <v>655</v>
      </c>
      <c r="C431" s="16" t="s">
        <v>1171</v>
      </c>
      <c r="D431" s="17">
        <v>4.3360402004832821E-4</v>
      </c>
      <c r="E431" s="16" t="s">
        <v>745</v>
      </c>
      <c r="F431" s="13">
        <v>0.10845142369674177</v>
      </c>
      <c r="H431" s="18"/>
      <c r="T431" s="18"/>
    </row>
    <row r="432" spans="1:20">
      <c r="A432" s="14">
        <v>430</v>
      </c>
      <c r="B432" s="16" t="s">
        <v>656</v>
      </c>
      <c r="C432" s="16" t="s">
        <v>1172</v>
      </c>
      <c r="D432" s="17">
        <v>1.1599191770781932E-4</v>
      </c>
      <c r="E432" s="16" t="s">
        <v>736</v>
      </c>
      <c r="F432" s="13">
        <v>-0.20337566888535297</v>
      </c>
      <c r="H432" s="18"/>
      <c r="T432" s="18"/>
    </row>
    <row r="433" spans="1:20">
      <c r="A433" s="14">
        <v>431</v>
      </c>
      <c r="B433" s="16" t="s">
        <v>657</v>
      </c>
      <c r="C433" s="16" t="s">
        <v>1173</v>
      </c>
      <c r="D433" s="17">
        <v>1.3442330194963967E-3</v>
      </c>
      <c r="E433" s="16" t="s">
        <v>740</v>
      </c>
      <c r="F433" s="13">
        <v>-4.9318829461624247E-3</v>
      </c>
      <c r="H433" s="18"/>
      <c r="T433" s="18"/>
    </row>
    <row r="434" spans="1:20">
      <c r="A434" s="14">
        <v>432</v>
      </c>
      <c r="B434" s="16" t="s">
        <v>658</v>
      </c>
      <c r="C434" s="16" t="s">
        <v>1174</v>
      </c>
      <c r="D434" s="17">
        <v>6.3075617334648997E-3</v>
      </c>
      <c r="E434" s="16" t="s">
        <v>740</v>
      </c>
      <c r="F434" s="13">
        <v>0.45330211473258553</v>
      </c>
      <c r="H434" s="18"/>
      <c r="T434" s="18"/>
    </row>
    <row r="435" spans="1:20">
      <c r="A435" s="14">
        <v>433</v>
      </c>
      <c r="B435" s="16" t="s">
        <v>659</v>
      </c>
      <c r="C435" s="16" t="s">
        <v>1175</v>
      </c>
      <c r="D435" s="17">
        <v>5.4872358594741601E-4</v>
      </c>
      <c r="E435" s="16" t="s">
        <v>781</v>
      </c>
      <c r="F435" s="13">
        <v>0.42456688463078285</v>
      </c>
      <c r="H435" s="18"/>
      <c r="T435" s="18"/>
    </row>
    <row r="436" spans="1:20">
      <c r="A436" s="14">
        <v>434</v>
      </c>
      <c r="B436" s="16" t="s">
        <v>660</v>
      </c>
      <c r="C436" s="16" t="s">
        <v>1176</v>
      </c>
      <c r="D436" s="17">
        <v>1.2791126010596055E-2</v>
      </c>
      <c r="E436" s="16" t="s">
        <v>738</v>
      </c>
      <c r="F436" s="13">
        <v>-6.0146475489094464E-2</v>
      </c>
      <c r="H436" s="18"/>
      <c r="T436" s="18"/>
    </row>
    <row r="437" spans="1:20">
      <c r="A437" s="14">
        <v>435</v>
      </c>
      <c r="B437" s="16" t="s">
        <v>661</v>
      </c>
      <c r="C437" s="16" t="s">
        <v>1177</v>
      </c>
      <c r="D437" s="17">
        <v>7.4617802567252954E-4</v>
      </c>
      <c r="E437" s="16" t="s">
        <v>745</v>
      </c>
      <c r="F437" s="13">
        <v>-9.6333728889307135E-2</v>
      </c>
      <c r="H437" s="18"/>
      <c r="T437" s="18"/>
    </row>
    <row r="438" spans="1:20">
      <c r="A438" s="14">
        <v>436</v>
      </c>
      <c r="B438" s="16" t="s">
        <v>662</v>
      </c>
      <c r="C438" s="16" t="s">
        <v>1178</v>
      </c>
      <c r="D438" s="17">
        <v>1.6825944416227868E-4</v>
      </c>
      <c r="E438" s="16" t="s">
        <v>736</v>
      </c>
      <c r="F438" s="13">
        <v>-2.6893024285935208E-2</v>
      </c>
      <c r="H438" s="18"/>
      <c r="T438" s="18"/>
    </row>
    <row r="439" spans="1:20">
      <c r="A439" s="14">
        <v>437</v>
      </c>
      <c r="B439" s="16" t="s">
        <v>663</v>
      </c>
      <c r="C439" s="16" t="s">
        <v>1179</v>
      </c>
      <c r="D439" s="17">
        <v>2.2659421904240771E-4</v>
      </c>
      <c r="E439" s="16" t="s">
        <v>752</v>
      </c>
      <c r="F439" s="13">
        <v>-3.904860005618449E-2</v>
      </c>
      <c r="H439" s="18"/>
      <c r="T439" s="18"/>
    </row>
    <row r="440" spans="1:20">
      <c r="A440" s="14">
        <v>438</v>
      </c>
      <c r="B440" s="16" t="s">
        <v>664</v>
      </c>
      <c r="C440" s="16" t="s">
        <v>1180</v>
      </c>
      <c r="D440" s="17">
        <v>6.5799127077821986E-4</v>
      </c>
      <c r="E440" s="16" t="s">
        <v>740</v>
      </c>
      <c r="F440" s="13">
        <v>-7.2658639417901849E-3</v>
      </c>
      <c r="H440" s="18"/>
      <c r="T440" s="18"/>
    </row>
    <row r="441" spans="1:20">
      <c r="A441" s="14">
        <v>439</v>
      </c>
      <c r="B441" s="16" t="s">
        <v>665</v>
      </c>
      <c r="C441" s="16" t="s">
        <v>1181</v>
      </c>
      <c r="D441" s="17">
        <v>9.6129767862115055E-4</v>
      </c>
      <c r="E441" s="16" t="s">
        <v>736</v>
      </c>
      <c r="F441" s="13">
        <v>-0.16418176627710757</v>
      </c>
      <c r="H441" s="18"/>
      <c r="T441" s="18"/>
    </row>
    <row r="442" spans="1:20">
      <c r="A442" s="14">
        <v>440</v>
      </c>
      <c r="B442" s="16" t="s">
        <v>666</v>
      </c>
      <c r="C442" s="16" t="s">
        <v>1182</v>
      </c>
      <c r="D442" s="17">
        <v>5.6050139050317057E-3</v>
      </c>
      <c r="E442" s="16" t="s">
        <v>781</v>
      </c>
      <c r="F442" s="13">
        <v>0.24845289202282772</v>
      </c>
      <c r="H442" s="18"/>
      <c r="T442" s="18"/>
    </row>
    <row r="443" spans="1:20">
      <c r="A443" s="14">
        <v>441</v>
      </c>
      <c r="B443" s="16" t="s">
        <v>667</v>
      </c>
      <c r="C443" s="16" t="s">
        <v>1183</v>
      </c>
      <c r="D443" s="17">
        <v>1.8066773216271844E-4</v>
      </c>
      <c r="E443" s="16" t="s">
        <v>800</v>
      </c>
      <c r="F443" s="13">
        <v>-3.3346199854156544E-2</v>
      </c>
      <c r="H443" s="18"/>
      <c r="T443" s="18"/>
    </row>
    <row r="444" spans="1:20">
      <c r="A444" s="14">
        <v>442</v>
      </c>
      <c r="B444" s="16" t="s">
        <v>668</v>
      </c>
      <c r="C444" s="16" t="s">
        <v>1184</v>
      </c>
      <c r="D444" s="17">
        <v>3.5347792380990302E-4</v>
      </c>
      <c r="E444" s="16" t="s">
        <v>745</v>
      </c>
      <c r="F444" s="13">
        <v>6.1835110672951776E-2</v>
      </c>
      <c r="H444" s="18"/>
      <c r="T444" s="18"/>
    </row>
    <row r="445" spans="1:20">
      <c r="A445" s="14">
        <v>443</v>
      </c>
      <c r="B445" s="16" t="s">
        <v>669</v>
      </c>
      <c r="C445" s="16" t="s">
        <v>1185</v>
      </c>
      <c r="D445" s="17">
        <v>1.2374547478607594E-4</v>
      </c>
      <c r="E445" s="16" t="s">
        <v>736</v>
      </c>
      <c r="F445" s="13">
        <v>-0.21519612686493295</v>
      </c>
      <c r="H445" s="18"/>
      <c r="T445" s="18"/>
    </row>
    <row r="446" spans="1:20">
      <c r="A446" s="14">
        <v>444</v>
      </c>
      <c r="B446" s="16" t="s">
        <v>670</v>
      </c>
      <c r="C446" s="16" t="s">
        <v>1186</v>
      </c>
      <c r="D446" s="17">
        <v>3.904146202276963E-4</v>
      </c>
      <c r="E446" s="16" t="s">
        <v>740</v>
      </c>
      <c r="F446" s="13">
        <v>-0.11841925413545229</v>
      </c>
      <c r="H446" s="18"/>
      <c r="T446" s="18"/>
    </row>
    <row r="447" spans="1:20">
      <c r="A447" s="14">
        <v>445</v>
      </c>
      <c r="B447" s="16" t="s">
        <v>671</v>
      </c>
      <c r="C447" s="16" t="s">
        <v>1187</v>
      </c>
      <c r="D447" s="17">
        <v>9.7243809043943145E-5</v>
      </c>
      <c r="E447" s="16" t="s">
        <v>800</v>
      </c>
      <c r="F447" s="13">
        <v>-7.4187014206010926E-2</v>
      </c>
      <c r="H447" s="18"/>
      <c r="T447" s="18"/>
    </row>
    <row r="448" spans="1:20">
      <c r="A448" s="14">
        <v>446</v>
      </c>
      <c r="B448" s="16" t="s">
        <v>672</v>
      </c>
      <c r="C448" s="16" t="s">
        <v>1188</v>
      </c>
      <c r="D448" s="17">
        <v>4.9210198724310645E-3</v>
      </c>
      <c r="E448" s="16" t="s">
        <v>800</v>
      </c>
      <c r="F448" s="13">
        <v>0.18238203767754779</v>
      </c>
      <c r="H448" s="18"/>
      <c r="T448" s="18"/>
    </row>
    <row r="449" spans="1:20">
      <c r="A449" s="14">
        <v>447</v>
      </c>
      <c r="B449" s="16" t="s">
        <v>673</v>
      </c>
      <c r="C449" s="16" t="s">
        <v>1189</v>
      </c>
      <c r="D449" s="17">
        <v>1.1395713478439329E-3</v>
      </c>
      <c r="E449" s="16" t="s">
        <v>800</v>
      </c>
      <c r="F449" s="13">
        <v>0.1786897794888278</v>
      </c>
      <c r="H449" s="18"/>
      <c r="T449" s="18"/>
    </row>
    <row r="450" spans="1:20">
      <c r="A450" s="14">
        <v>448</v>
      </c>
      <c r="B450" s="16" t="s">
        <v>674</v>
      </c>
      <c r="C450" s="16" t="s">
        <v>1190</v>
      </c>
      <c r="D450" s="17">
        <v>4.0263497566759237E-4</v>
      </c>
      <c r="E450" s="16" t="s">
        <v>761</v>
      </c>
      <c r="F450" s="13">
        <v>0.49645643683954122</v>
      </c>
      <c r="H450" s="18"/>
      <c r="T450" s="18"/>
    </row>
    <row r="451" spans="1:20">
      <c r="A451" s="14">
        <v>449</v>
      </c>
      <c r="B451" s="16" t="s">
        <v>675</v>
      </c>
      <c r="C451" s="16" t="s">
        <v>1191</v>
      </c>
      <c r="D451" s="17">
        <v>1.0113321876875017E-4</v>
      </c>
      <c r="E451" s="16" t="s">
        <v>800</v>
      </c>
      <c r="F451" s="13">
        <v>-0.19227768599195605</v>
      </c>
      <c r="H451" s="18"/>
      <c r="T451" s="18"/>
    </row>
    <row r="452" spans="1:20">
      <c r="A452" s="14">
        <v>450</v>
      </c>
      <c r="B452" s="16" t="s">
        <v>676</v>
      </c>
      <c r="C452" s="16" t="s">
        <v>1192</v>
      </c>
      <c r="D452" s="17">
        <v>1.7664076896114261E-4</v>
      </c>
      <c r="E452" s="16" t="s">
        <v>740</v>
      </c>
      <c r="F452" s="13">
        <v>-0.18467115254812594</v>
      </c>
      <c r="H452" s="18"/>
      <c r="T452" s="18"/>
    </row>
    <row r="453" spans="1:20">
      <c r="A453" s="14">
        <v>451</v>
      </c>
      <c r="B453" s="16" t="s">
        <v>677</v>
      </c>
      <c r="C453" s="16" t="s">
        <v>1193</v>
      </c>
      <c r="D453" s="17">
        <v>2.3437405729531307E-3</v>
      </c>
      <c r="E453" s="16" t="s">
        <v>742</v>
      </c>
      <c r="F453" s="13">
        <v>1.1202965648305145</v>
      </c>
      <c r="H453" s="18"/>
      <c r="T453" s="18"/>
    </row>
    <row r="454" spans="1:20">
      <c r="A454" s="14">
        <v>452</v>
      </c>
      <c r="B454" s="16" t="s">
        <v>678</v>
      </c>
      <c r="C454" s="16" t="s">
        <v>1194</v>
      </c>
      <c r="D454" s="17">
        <v>5.3964941858604301E-4</v>
      </c>
      <c r="E454" s="16" t="s">
        <v>742</v>
      </c>
      <c r="F454" s="13">
        <v>-0.25231562090127091</v>
      </c>
      <c r="H454" s="18"/>
      <c r="T454" s="18"/>
    </row>
    <row r="455" spans="1:20">
      <c r="A455" s="14">
        <v>453</v>
      </c>
      <c r="B455" s="16" t="s">
        <v>679</v>
      </c>
      <c r="C455" s="16" t="s">
        <v>1195</v>
      </c>
      <c r="D455" s="17">
        <v>2.8357778606140929E-4</v>
      </c>
      <c r="E455" s="16" t="s">
        <v>761</v>
      </c>
      <c r="F455" s="13">
        <v>0.5975543779900252</v>
      </c>
      <c r="H455" s="18"/>
      <c r="T455" s="18"/>
    </row>
    <row r="456" spans="1:20">
      <c r="A456" s="14">
        <v>454</v>
      </c>
      <c r="B456" s="16" t="s">
        <v>680</v>
      </c>
      <c r="C456" s="16" t="s">
        <v>1196</v>
      </c>
      <c r="D456" s="17">
        <v>2.5570847246777307E-4</v>
      </c>
      <c r="E456" s="16" t="s">
        <v>755</v>
      </c>
      <c r="F456" s="13">
        <v>0.21229310350734676</v>
      </c>
      <c r="H456" s="18"/>
      <c r="T456" s="18"/>
    </row>
    <row r="457" spans="1:20">
      <c r="A457" s="14">
        <v>455</v>
      </c>
      <c r="B457" s="16" t="s">
        <v>681</v>
      </c>
      <c r="C457" s="16" t="s">
        <v>1197</v>
      </c>
      <c r="D457" s="17">
        <v>1.3398802533707956E-3</v>
      </c>
      <c r="E457" s="16" t="s">
        <v>740</v>
      </c>
      <c r="F457" s="13">
        <v>0.26965886560563845</v>
      </c>
      <c r="H457" s="18"/>
      <c r="T457" s="18"/>
    </row>
    <row r="458" spans="1:20">
      <c r="A458" s="14">
        <v>456</v>
      </c>
      <c r="B458" s="16" t="s">
        <v>682</v>
      </c>
      <c r="C458" s="16" t="s">
        <v>1198</v>
      </c>
      <c r="D458" s="17">
        <v>2.4762141489159336E-4</v>
      </c>
      <c r="E458" s="16" t="s">
        <v>740</v>
      </c>
      <c r="F458" s="13">
        <v>-0.32765052490065683</v>
      </c>
      <c r="H458" s="18"/>
      <c r="T458" s="18"/>
    </row>
    <row r="459" spans="1:20">
      <c r="A459" s="14">
        <v>457</v>
      </c>
      <c r="B459" s="16" t="s">
        <v>683</v>
      </c>
      <c r="C459" s="16" t="s">
        <v>1199</v>
      </c>
      <c r="D459" s="17">
        <v>2.5745154579197884E-4</v>
      </c>
      <c r="E459" s="16" t="s">
        <v>736</v>
      </c>
      <c r="F459" s="13">
        <v>0.53143227478937249</v>
      </c>
      <c r="H459" s="18"/>
      <c r="T459" s="18"/>
    </row>
    <row r="460" spans="1:20">
      <c r="A460" s="14">
        <v>458</v>
      </c>
      <c r="B460" s="16" t="s">
        <v>684</v>
      </c>
      <c r="C460" s="16" t="s">
        <v>1200</v>
      </c>
      <c r="D460" s="17">
        <v>2.5628950986300754E-3</v>
      </c>
      <c r="E460" s="16" t="s">
        <v>742</v>
      </c>
      <c r="F460" s="13">
        <v>0.42914149653864797</v>
      </c>
      <c r="H460" s="18"/>
      <c r="T460" s="18"/>
    </row>
    <row r="461" spans="1:20">
      <c r="A461" s="14">
        <v>459</v>
      </c>
      <c r="B461" s="16" t="s">
        <v>685</v>
      </c>
      <c r="C461" s="16" t="s">
        <v>1201</v>
      </c>
      <c r="D461" s="17">
        <v>1.381624995378847E-3</v>
      </c>
      <c r="E461" s="16" t="s">
        <v>740</v>
      </c>
      <c r="F461" s="13">
        <v>0.22777117133860925</v>
      </c>
      <c r="H461" s="18"/>
      <c r="T461" s="18"/>
    </row>
    <row r="462" spans="1:20">
      <c r="A462" s="14">
        <v>460</v>
      </c>
      <c r="B462" s="16" t="s">
        <v>686</v>
      </c>
      <c r="C462" s="16" t="s">
        <v>1202</v>
      </c>
      <c r="D462" s="17">
        <v>1.7090468856813216E-3</v>
      </c>
      <c r="E462" s="16" t="s">
        <v>736</v>
      </c>
      <c r="F462" s="13">
        <v>-0.24604187325547155</v>
      </c>
      <c r="H462" s="18"/>
      <c r="T462" s="18"/>
    </row>
    <row r="463" spans="1:20">
      <c r="A463" s="14">
        <v>461</v>
      </c>
      <c r="B463" s="16" t="s">
        <v>687</v>
      </c>
      <c r="C463" s="16" t="s">
        <v>1203</v>
      </c>
      <c r="D463" s="17">
        <v>2.1002756693234968E-3</v>
      </c>
      <c r="E463" s="16" t="s">
        <v>740</v>
      </c>
      <c r="F463" s="13">
        <v>0.14155551559841872</v>
      </c>
      <c r="H463" s="18"/>
      <c r="T463" s="18"/>
    </row>
    <row r="464" spans="1:20">
      <c r="A464" s="14">
        <v>462</v>
      </c>
      <c r="B464" s="16" t="s">
        <v>688</v>
      </c>
      <c r="C464" s="16" t="s">
        <v>1204</v>
      </c>
      <c r="D464" s="17">
        <v>7.8504974002722679E-4</v>
      </c>
      <c r="E464" s="16" t="s">
        <v>740</v>
      </c>
      <c r="F464" s="13">
        <v>8.8186982967928929E-2</v>
      </c>
      <c r="H464" s="18"/>
      <c r="T464" s="18"/>
    </row>
    <row r="465" spans="1:20">
      <c r="A465" s="14">
        <v>463</v>
      </c>
      <c r="B465" s="16" t="s">
        <v>689</v>
      </c>
      <c r="C465" s="16" t="s">
        <v>1205</v>
      </c>
      <c r="D465" s="17">
        <v>2.872755389284427E-3</v>
      </c>
      <c r="E465" s="16" t="s">
        <v>749</v>
      </c>
      <c r="F465" s="13">
        <v>-7.3938310236923876E-2</v>
      </c>
      <c r="H465" s="18"/>
      <c r="T465" s="18"/>
    </row>
    <row r="466" spans="1:20">
      <c r="A466" s="14">
        <v>464</v>
      </c>
      <c r="B466" s="16" t="s">
        <v>690</v>
      </c>
      <c r="C466" s="16" t="s">
        <v>1206</v>
      </c>
      <c r="D466" s="17">
        <v>4.3719509687151496E-4</v>
      </c>
      <c r="E466" s="16" t="s">
        <v>740</v>
      </c>
      <c r="F466" s="13">
        <v>6.3852438599621975E-2</v>
      </c>
      <c r="H466" s="18"/>
      <c r="T466" s="18"/>
    </row>
    <row r="467" spans="1:20">
      <c r="A467" s="14">
        <v>465</v>
      </c>
      <c r="B467" s="16" t="s">
        <v>691</v>
      </c>
      <c r="C467" s="16" t="s">
        <v>1207</v>
      </c>
      <c r="D467" s="17">
        <v>1.5198101980590795E-3</v>
      </c>
      <c r="E467" s="16" t="s">
        <v>745</v>
      </c>
      <c r="F467" s="13">
        <v>7.9720524222535838E-2</v>
      </c>
      <c r="H467" s="18"/>
      <c r="T467" s="18"/>
    </row>
    <row r="468" spans="1:20">
      <c r="A468" s="14">
        <v>466</v>
      </c>
      <c r="B468" s="16" t="s">
        <v>692</v>
      </c>
      <c r="C468" s="16" t="s">
        <v>1208</v>
      </c>
      <c r="D468" s="17">
        <v>2.6564897687629627E-4</v>
      </c>
      <c r="E468" s="16" t="s">
        <v>736</v>
      </c>
      <c r="F468" s="13">
        <v>-4.9806302720903584E-2</v>
      </c>
      <c r="H468" s="18"/>
      <c r="T468" s="18"/>
    </row>
    <row r="469" spans="1:20">
      <c r="A469" s="14">
        <v>467</v>
      </c>
      <c r="B469" s="16" t="s">
        <v>693</v>
      </c>
      <c r="C469" s="16" t="s">
        <v>1209</v>
      </c>
      <c r="D469" s="17">
        <v>9.9959977758988061E-4</v>
      </c>
      <c r="E469" s="16" t="s">
        <v>761</v>
      </c>
      <c r="F469" s="13">
        <v>-4.4890398671952547E-2</v>
      </c>
      <c r="H469" s="18"/>
      <c r="T469" s="18"/>
    </row>
    <row r="470" spans="1:20">
      <c r="A470" s="14">
        <v>468</v>
      </c>
      <c r="B470" s="16" t="s">
        <v>694</v>
      </c>
      <c r="C470" s="16" t="s">
        <v>1210</v>
      </c>
      <c r="D470" s="17">
        <v>5.270530847116049E-4</v>
      </c>
      <c r="E470" s="16" t="s">
        <v>752</v>
      </c>
      <c r="F470" s="13">
        <v>-0.14417855658749668</v>
      </c>
      <c r="H470" s="18"/>
      <c r="T470" s="18"/>
    </row>
    <row r="471" spans="1:20">
      <c r="A471" s="14">
        <v>469</v>
      </c>
      <c r="B471" s="16" t="s">
        <v>695</v>
      </c>
      <c r="C471" s="16" t="s">
        <v>1211</v>
      </c>
      <c r="D471" s="17">
        <v>4.9562792965761309E-3</v>
      </c>
      <c r="E471" s="16" t="s">
        <v>740</v>
      </c>
      <c r="F471" s="13">
        <v>-5.7831479609571246E-2</v>
      </c>
      <c r="H471" s="18"/>
      <c r="T471" s="18"/>
    </row>
    <row r="472" spans="1:20">
      <c r="A472" s="14">
        <v>470</v>
      </c>
      <c r="B472" s="16" t="s">
        <v>696</v>
      </c>
      <c r="C472" s="16" t="s">
        <v>1212</v>
      </c>
      <c r="D472" s="17">
        <v>1.1883014791346787E-3</v>
      </c>
      <c r="E472" s="16" t="s">
        <v>781</v>
      </c>
      <c r="F472" s="13">
        <v>0.32759346637151299</v>
      </c>
      <c r="H472" s="18"/>
      <c r="T472" s="18"/>
    </row>
    <row r="473" spans="1:20">
      <c r="A473" s="14">
        <v>471</v>
      </c>
      <c r="B473" s="16" t="s">
        <v>697</v>
      </c>
      <c r="C473" s="16" t="s">
        <v>1213</v>
      </c>
      <c r="D473" s="17">
        <v>1.8680814045931416E-4</v>
      </c>
      <c r="E473" s="16" t="s">
        <v>800</v>
      </c>
      <c r="F473" s="13">
        <v>-0.29568214620383704</v>
      </c>
      <c r="H473" s="18"/>
      <c r="T473" s="18"/>
    </row>
    <row r="474" spans="1:20">
      <c r="A474" s="14">
        <v>472</v>
      </c>
      <c r="B474" s="16" t="s">
        <v>698</v>
      </c>
      <c r="C474" s="16" t="s">
        <v>1214</v>
      </c>
      <c r="D474" s="17">
        <v>8.3962460280899648E-4</v>
      </c>
      <c r="E474" s="16" t="s">
        <v>752</v>
      </c>
      <c r="F474" s="13">
        <v>4.8579746599492601E-2</v>
      </c>
      <c r="H474" s="18"/>
      <c r="T474" s="18"/>
    </row>
    <row r="475" spans="1:20">
      <c r="A475" s="14">
        <v>473</v>
      </c>
      <c r="B475" s="16" t="s">
        <v>699</v>
      </c>
      <c r="C475" s="16" t="s">
        <v>1215</v>
      </c>
      <c r="D475" s="17">
        <v>1.0793961788379779E-3</v>
      </c>
      <c r="E475" s="16" t="s">
        <v>742</v>
      </c>
      <c r="F475" s="13">
        <v>1.4979927999792788</v>
      </c>
      <c r="H475" s="18"/>
      <c r="T475" s="18"/>
    </row>
    <row r="476" spans="1:20">
      <c r="A476" s="14">
        <v>474</v>
      </c>
      <c r="B476" s="16" t="s">
        <v>700</v>
      </c>
      <c r="C476" s="16" t="s">
        <v>1216</v>
      </c>
      <c r="D476" s="17">
        <v>2.9245073573347037E-3</v>
      </c>
      <c r="E476" s="16" t="s">
        <v>745</v>
      </c>
      <c r="F476" s="13">
        <v>0.11560711875350238</v>
      </c>
      <c r="H476" s="18"/>
      <c r="T476" s="18"/>
    </row>
    <row r="477" spans="1:20">
      <c r="A477" s="14">
        <v>475</v>
      </c>
      <c r="B477" s="16" t="s">
        <v>701</v>
      </c>
      <c r="C477" s="16" t="s">
        <v>1217</v>
      </c>
      <c r="D477" s="17">
        <v>1.415441996429894E-3</v>
      </c>
      <c r="E477" s="16" t="s">
        <v>749</v>
      </c>
      <c r="F477" s="13">
        <v>-3.8997164209287782E-2</v>
      </c>
      <c r="H477" s="18"/>
      <c r="T477" s="18"/>
    </row>
    <row r="478" spans="1:20">
      <c r="A478" s="14">
        <v>476</v>
      </c>
      <c r="B478" s="16" t="s">
        <v>702</v>
      </c>
      <c r="C478" s="16" t="s">
        <v>1218</v>
      </c>
      <c r="D478" s="17">
        <v>1.4061183067552794E-3</v>
      </c>
      <c r="E478" s="16" t="s">
        <v>761</v>
      </c>
      <c r="F478" s="13">
        <v>0.20551256116309102</v>
      </c>
      <c r="H478" s="18"/>
      <c r="T478" s="18"/>
    </row>
    <row r="479" spans="1:20">
      <c r="A479" s="14">
        <v>477</v>
      </c>
      <c r="B479" s="16" t="s">
        <v>703</v>
      </c>
      <c r="C479" s="16" t="s">
        <v>1219</v>
      </c>
      <c r="D479" s="17">
        <v>1.1516947926782182E-3</v>
      </c>
      <c r="E479" s="16" t="s">
        <v>740</v>
      </c>
      <c r="F479" s="13">
        <v>-5.5191573400166449E-2</v>
      </c>
      <c r="H479" s="18"/>
      <c r="T479" s="18"/>
    </row>
    <row r="480" spans="1:20">
      <c r="A480" s="14">
        <v>478</v>
      </c>
      <c r="B480" s="16" t="s">
        <v>704</v>
      </c>
      <c r="C480" s="16" t="s">
        <v>1220</v>
      </c>
      <c r="D480" s="17">
        <v>1.8752873208594065E-4</v>
      </c>
      <c r="E480" s="16" t="s">
        <v>752</v>
      </c>
      <c r="F480" s="13">
        <v>9.3205589576046854E-2</v>
      </c>
      <c r="H480" s="18"/>
      <c r="T480" s="18"/>
    </row>
    <row r="481" spans="1:20">
      <c r="A481" s="14">
        <v>479</v>
      </c>
      <c r="B481" s="16" t="s">
        <v>705</v>
      </c>
      <c r="C481" s="16" t="s">
        <v>1221</v>
      </c>
      <c r="D481" s="17">
        <v>8.989319242258192E-4</v>
      </c>
      <c r="E481" s="16" t="s">
        <v>740</v>
      </c>
      <c r="F481" s="13">
        <v>9.5062671965322476E-3</v>
      </c>
      <c r="H481" s="18"/>
      <c r="T481" s="18"/>
    </row>
    <row r="482" spans="1:20">
      <c r="A482" s="14">
        <v>480</v>
      </c>
      <c r="B482" s="16" t="s">
        <v>706</v>
      </c>
      <c r="C482" s="16" t="s">
        <v>1222</v>
      </c>
      <c r="D482" s="17">
        <v>1.9445456746580296E-4</v>
      </c>
      <c r="E482" s="16" t="s">
        <v>742</v>
      </c>
      <c r="F482" s="13">
        <v>-0.22747215659804187</v>
      </c>
      <c r="H482" s="18"/>
      <c r="T482" s="18"/>
    </row>
    <row r="483" spans="1:20">
      <c r="A483" s="14">
        <v>481</v>
      </c>
      <c r="B483" s="16" t="s">
        <v>707</v>
      </c>
      <c r="C483" s="16" t="s">
        <v>777</v>
      </c>
      <c r="D483" s="17">
        <v>2.8081307766172025E-2</v>
      </c>
      <c r="E483" s="16" t="s">
        <v>749</v>
      </c>
      <c r="F483" s="13">
        <v>0.21696421757696727</v>
      </c>
      <c r="H483" s="18"/>
      <c r="T483" s="18"/>
    </row>
    <row r="484" spans="1:20">
      <c r="A484" s="14">
        <v>482</v>
      </c>
      <c r="B484" s="16" t="s">
        <v>708</v>
      </c>
      <c r="C484" s="16" t="s">
        <v>1223</v>
      </c>
      <c r="D484" s="17">
        <v>7.9556151965857417E-4</v>
      </c>
      <c r="E484" s="16" t="s">
        <v>745</v>
      </c>
      <c r="F484" s="13">
        <v>0.21056071231605866</v>
      </c>
      <c r="H484" s="18"/>
      <c r="T484" s="18"/>
    </row>
    <row r="485" spans="1:20">
      <c r="A485" s="14">
        <v>483</v>
      </c>
      <c r="B485" s="16" t="s">
        <v>709</v>
      </c>
      <c r="C485" s="16" t="s">
        <v>1224</v>
      </c>
      <c r="D485" s="17">
        <v>4.414249495014081E-4</v>
      </c>
      <c r="E485" s="16" t="s">
        <v>800</v>
      </c>
      <c r="F485" s="13">
        <v>5.8814075586663961E-2</v>
      </c>
      <c r="H485" s="18"/>
      <c r="T485" s="18"/>
    </row>
    <row r="486" spans="1:20">
      <c r="A486" s="14">
        <v>484</v>
      </c>
      <c r="B486" s="16" t="s">
        <v>710</v>
      </c>
      <c r="C486" s="16" t="s">
        <v>1225</v>
      </c>
      <c r="D486" s="17">
        <v>3.1293226720361999E-4</v>
      </c>
      <c r="E486" s="16" t="s">
        <v>742</v>
      </c>
      <c r="F486" s="13">
        <v>6.1439719132705406E-3</v>
      </c>
      <c r="H486" s="18"/>
      <c r="T486" s="18"/>
    </row>
    <row r="487" spans="1:20">
      <c r="A487" s="14">
        <v>485</v>
      </c>
      <c r="B487" s="16" t="s">
        <v>711</v>
      </c>
      <c r="C487" s="16" t="s">
        <v>1226</v>
      </c>
      <c r="D487" s="17">
        <v>1.0993219308703037E-3</v>
      </c>
      <c r="E487" s="16" t="s">
        <v>781</v>
      </c>
      <c r="F487" s="13">
        <v>0.35342679583903158</v>
      </c>
      <c r="H487" s="18"/>
      <c r="T487" s="18"/>
    </row>
    <row r="488" spans="1:20">
      <c r="A488" s="14">
        <v>486</v>
      </c>
      <c r="B488" s="16" t="s">
        <v>712</v>
      </c>
      <c r="C488" s="16" t="s">
        <v>1227</v>
      </c>
      <c r="D488" s="17">
        <v>4.8918907271937933E-3</v>
      </c>
      <c r="E488" s="16" t="s">
        <v>752</v>
      </c>
      <c r="F488" s="13">
        <v>-8.6411704306168291E-2</v>
      </c>
      <c r="H488" s="18"/>
      <c r="T488" s="18"/>
    </row>
    <row r="489" spans="1:20">
      <c r="A489" s="14">
        <v>487</v>
      </c>
      <c r="B489" s="16" t="s">
        <v>713</v>
      </c>
      <c r="C489" s="16" t="s">
        <v>1228</v>
      </c>
      <c r="D489" s="17">
        <v>5.7353866824368918E-4</v>
      </c>
      <c r="E489" s="16" t="s">
        <v>736</v>
      </c>
      <c r="F489" s="13">
        <v>0.15422500937994998</v>
      </c>
      <c r="H489" s="18"/>
      <c r="T489" s="18"/>
    </row>
    <row r="490" spans="1:20">
      <c r="A490" s="14">
        <v>488</v>
      </c>
      <c r="B490" s="16" t="s">
        <v>714</v>
      </c>
      <c r="C490" s="16" t="s">
        <v>1229</v>
      </c>
      <c r="D490" s="17">
        <v>2.4186531332736906E-4</v>
      </c>
      <c r="E490" s="16" t="s">
        <v>740</v>
      </c>
      <c r="F490" s="13">
        <v>0.15241424309481477</v>
      </c>
      <c r="H490" s="18"/>
      <c r="T490" s="18"/>
    </row>
    <row r="491" spans="1:20">
      <c r="A491" s="14">
        <v>489</v>
      </c>
      <c r="B491" s="16" t="s">
        <v>715</v>
      </c>
      <c r="C491" s="16" t="s">
        <v>1230</v>
      </c>
      <c r="D491" s="17">
        <v>3.7026630400399719E-3</v>
      </c>
      <c r="E491" s="16" t="s">
        <v>742</v>
      </c>
      <c r="F491" s="13">
        <v>-0.12076131530827783</v>
      </c>
      <c r="H491" s="18"/>
      <c r="T491" s="18"/>
    </row>
    <row r="492" spans="1:20">
      <c r="A492" s="14">
        <v>490</v>
      </c>
      <c r="B492" s="16" t="s">
        <v>716</v>
      </c>
      <c r="C492" s="16" t="s">
        <v>1231</v>
      </c>
      <c r="D492" s="17">
        <v>5.2203424205592565E-4</v>
      </c>
      <c r="E492" s="16" t="s">
        <v>736</v>
      </c>
      <c r="F492" s="13">
        <v>-0.10726254058016615</v>
      </c>
      <c r="H492" s="18"/>
      <c r="T492" s="18"/>
    </row>
    <row r="493" spans="1:20">
      <c r="A493" s="14">
        <v>491</v>
      </c>
      <c r="B493" s="16" t="s">
        <v>717</v>
      </c>
      <c r="C493" s="16" t="s">
        <v>1232</v>
      </c>
      <c r="D493" s="17">
        <v>1.1621088288142243E-3</v>
      </c>
      <c r="E493" s="16" t="s">
        <v>736</v>
      </c>
      <c r="F493" s="13">
        <v>1.5993693408566045E-2</v>
      </c>
      <c r="H493" s="18"/>
      <c r="T493" s="18"/>
    </row>
    <row r="494" spans="1:20">
      <c r="A494" s="14">
        <v>492</v>
      </c>
      <c r="B494" s="16" t="s">
        <v>718</v>
      </c>
      <c r="C494" s="16" t="s">
        <v>1233</v>
      </c>
      <c r="D494" s="17">
        <v>3.0071404996711155E-4</v>
      </c>
      <c r="E494" s="16" t="s">
        <v>761</v>
      </c>
      <c r="F494" s="13">
        <v>0.11277107557533261</v>
      </c>
      <c r="H494" s="18"/>
      <c r="T494" s="18"/>
    </row>
    <row r="495" spans="1:20">
      <c r="A495" s="14">
        <v>493</v>
      </c>
      <c r="B495" s="16" t="s">
        <v>719</v>
      </c>
      <c r="C495" s="16" t="s">
        <v>1234</v>
      </c>
      <c r="D495" s="17">
        <v>8.5165116907038739E-4</v>
      </c>
      <c r="E495" s="16" t="s">
        <v>740</v>
      </c>
      <c r="F495" s="13">
        <v>0.23941261923949431</v>
      </c>
      <c r="H495" s="18"/>
      <c r="T495" s="18"/>
    </row>
    <row r="496" spans="1:20">
      <c r="A496" s="14">
        <v>494</v>
      </c>
      <c r="B496" s="16" t="s">
        <v>720</v>
      </c>
      <c r="C496" s="16" t="s">
        <v>1235</v>
      </c>
      <c r="D496" s="17">
        <v>8.7430306421278099E-3</v>
      </c>
      <c r="E496" s="16" t="s">
        <v>736</v>
      </c>
      <c r="F496" s="13">
        <v>0.12347816336603934</v>
      </c>
      <c r="H496" s="18"/>
      <c r="T496" s="18"/>
    </row>
    <row r="497" spans="1:20">
      <c r="A497" s="14">
        <v>495</v>
      </c>
      <c r="B497" s="16" t="s">
        <v>721</v>
      </c>
      <c r="C497" s="16" t="s">
        <v>1236</v>
      </c>
      <c r="D497" s="17">
        <v>2.3959796602847328E-4</v>
      </c>
      <c r="E497" s="16" t="s">
        <v>740</v>
      </c>
      <c r="F497" s="13">
        <v>-3.4182759641538274E-2</v>
      </c>
      <c r="H497" s="18"/>
      <c r="T497" s="18"/>
    </row>
    <row r="498" spans="1:20">
      <c r="A498" s="14">
        <v>496</v>
      </c>
      <c r="B498" s="16" t="s">
        <v>722</v>
      </c>
      <c r="C498" s="16" t="s">
        <v>1237</v>
      </c>
      <c r="D498" s="17">
        <v>1.2507164132504881E-3</v>
      </c>
      <c r="E498" s="16" t="s">
        <v>738</v>
      </c>
      <c r="F498" s="13">
        <v>-8.6023858843938705E-2</v>
      </c>
      <c r="H498" s="18"/>
      <c r="T498" s="18"/>
    </row>
    <row r="499" spans="1:20">
      <c r="A499" s="14">
        <v>497</v>
      </c>
      <c r="B499" s="16" t="s">
        <v>723</v>
      </c>
      <c r="C499" s="16" t="s">
        <v>1238</v>
      </c>
      <c r="D499" s="17">
        <v>2.030946962856323E-4</v>
      </c>
      <c r="E499" s="16" t="s">
        <v>755</v>
      </c>
      <c r="F499" s="13">
        <v>0.16394293460993148</v>
      </c>
      <c r="H499" s="18"/>
      <c r="T499" s="18"/>
    </row>
    <row r="500" spans="1:20">
      <c r="A500" s="14">
        <v>498</v>
      </c>
      <c r="B500" s="16" t="s">
        <v>724</v>
      </c>
      <c r="C500" s="16" t="s">
        <v>1239</v>
      </c>
      <c r="D500" s="17">
        <v>3.9053446038102025E-4</v>
      </c>
      <c r="E500" s="16" t="s">
        <v>742</v>
      </c>
      <c r="F500" s="13">
        <v>-0.3489662031910562</v>
      </c>
      <c r="H500" s="18"/>
      <c r="T500" s="18"/>
    </row>
    <row r="501" spans="1:20">
      <c r="A501" s="14">
        <v>499</v>
      </c>
      <c r="B501" s="16" t="s">
        <v>725</v>
      </c>
      <c r="C501" s="16" t="s">
        <v>1240</v>
      </c>
      <c r="D501" s="17">
        <v>1.0253106957943453E-3</v>
      </c>
      <c r="E501" s="16" t="s">
        <v>740</v>
      </c>
      <c r="F501" s="13">
        <v>7.91951569973115E-3</v>
      </c>
      <c r="H501" s="18"/>
      <c r="T501" s="18"/>
    </row>
    <row r="502" spans="1:20">
      <c r="A502" s="14">
        <v>500</v>
      </c>
      <c r="B502" s="16" t="s">
        <v>726</v>
      </c>
      <c r="C502" s="16" t="s">
        <v>1241</v>
      </c>
      <c r="D502" s="17">
        <v>2.1224021437316713E-4</v>
      </c>
      <c r="E502" s="16" t="s">
        <v>740</v>
      </c>
      <c r="F502" s="13">
        <v>4.6004882845859241E-2</v>
      </c>
      <c r="H502" s="18"/>
      <c r="T502" s="18"/>
    </row>
    <row r="503" spans="1:20">
      <c r="A503" s="14">
        <v>501</v>
      </c>
      <c r="B503" s="16" t="s">
        <v>727</v>
      </c>
      <c r="C503" s="16" t="s">
        <v>1242</v>
      </c>
      <c r="D503" s="17">
        <v>3.1688068821424057E-3</v>
      </c>
      <c r="E503" s="16" t="s">
        <v>752</v>
      </c>
      <c r="F503" s="13">
        <v>-5.7669069576994691E-2</v>
      </c>
      <c r="H503" s="18"/>
      <c r="T503" s="18"/>
    </row>
    <row r="504" spans="1:20">
      <c r="A504" s="14">
        <v>502</v>
      </c>
      <c r="B504" s="16" t="s">
        <v>728</v>
      </c>
      <c r="C504" s="16" t="s">
        <v>1243</v>
      </c>
      <c r="D504" s="17">
        <v>1.568024081225735E-3</v>
      </c>
      <c r="E504" s="16" t="s">
        <v>736</v>
      </c>
      <c r="F504" s="13">
        <v>-0.179731897918193</v>
      </c>
      <c r="H504" s="18"/>
      <c r="T504" s="18"/>
    </row>
    <row r="505" spans="1:20">
      <c r="A505" s="14">
        <v>503</v>
      </c>
      <c r="B505" s="16" t="s">
        <v>729</v>
      </c>
      <c r="C505" s="16" t="s">
        <v>1244</v>
      </c>
      <c r="D505" s="17">
        <v>1.1149436998417714E-4</v>
      </c>
      <c r="E505" s="16" t="s">
        <v>752</v>
      </c>
      <c r="F505" s="13">
        <v>3.2063579062757253E-2</v>
      </c>
      <c r="H505" s="18"/>
      <c r="T505" s="18"/>
    </row>
    <row r="506" spans="1:20">
      <c r="A506" s="14">
        <v>504</v>
      </c>
      <c r="B506" s="16" t="s">
        <v>730</v>
      </c>
      <c r="C506" s="16" t="s">
        <v>1245</v>
      </c>
      <c r="D506" s="17">
        <v>1.8539899920156121E-3</v>
      </c>
      <c r="E506" s="16" t="s">
        <v>761</v>
      </c>
      <c r="F506" s="13">
        <v>7.2590851283595992E-2</v>
      </c>
      <c r="H506" s="18"/>
      <c r="T506" s="18"/>
    </row>
    <row r="507" spans="1:20">
      <c r="A507" s="14">
        <v>505</v>
      </c>
      <c r="B507" s="16" t="s">
        <v>731</v>
      </c>
      <c r="C507" s="16" t="s">
        <v>1246</v>
      </c>
      <c r="D507" s="17">
        <v>5.3483635986910595E-3</v>
      </c>
      <c r="E507" s="16" t="s">
        <v>738</v>
      </c>
      <c r="F507" s="13">
        <v>-7.4416331546023451E-2</v>
      </c>
      <c r="H507" s="18"/>
      <c r="T507" s="18"/>
    </row>
    <row r="508" spans="1:20">
      <c r="N508" s="18"/>
    </row>
    <row r="509" spans="1:20">
      <c r="N509" s="18"/>
    </row>
    <row r="510" spans="1:20">
      <c r="N510" s="18"/>
    </row>
    <row r="511" spans="1:20">
      <c r="N511" s="18"/>
    </row>
    <row r="512" spans="1:20">
      <c r="N512" s="18"/>
    </row>
    <row r="513" spans="14:14">
      <c r="N513" s="18"/>
    </row>
    <row r="514" spans="14:14">
      <c r="N514" s="18"/>
    </row>
    <row r="515" spans="14:14">
      <c r="N515" s="18"/>
    </row>
    <row r="516" spans="14:14">
      <c r="N516" s="18"/>
    </row>
    <row r="517" spans="14:14">
      <c r="N517" s="18"/>
    </row>
    <row r="518" spans="14:14">
      <c r="N518" s="18"/>
    </row>
    <row r="519" spans="14:14">
      <c r="N519" s="18"/>
    </row>
    <row r="520" spans="14:14">
      <c r="N520" s="18"/>
    </row>
    <row r="521" spans="14:14">
      <c r="N521" s="18"/>
    </row>
    <row r="522" spans="14:14">
      <c r="N522" s="18"/>
    </row>
    <row r="523" spans="14:14">
      <c r="N523" s="18"/>
    </row>
    <row r="524" spans="14:14">
      <c r="N524" s="18"/>
    </row>
    <row r="525" spans="14:14">
      <c r="N525" s="18"/>
    </row>
    <row r="526" spans="14:14">
      <c r="N526" s="18"/>
    </row>
    <row r="527" spans="14:14">
      <c r="N527" s="18"/>
    </row>
    <row r="528" spans="14:14">
      <c r="N528" s="18"/>
    </row>
    <row r="529" spans="14:14">
      <c r="N529" s="18"/>
    </row>
    <row r="530" spans="14:14">
      <c r="N530" s="18"/>
    </row>
    <row r="531" spans="14:14">
      <c r="N531" s="18"/>
    </row>
    <row r="532" spans="14:14">
      <c r="N532" s="18"/>
    </row>
    <row r="533" spans="14:14">
      <c r="N533" s="18"/>
    </row>
    <row r="534" spans="14:14">
      <c r="N534" s="18"/>
    </row>
    <row r="535" spans="14:14">
      <c r="N535" s="18"/>
    </row>
    <row r="536" spans="14:14">
      <c r="N536" s="18"/>
    </row>
    <row r="537" spans="14:14">
      <c r="N537" s="18"/>
    </row>
    <row r="538" spans="14:14">
      <c r="N538" s="18"/>
    </row>
    <row r="539" spans="14:14">
      <c r="N539" s="18"/>
    </row>
    <row r="540" spans="14:14">
      <c r="N540" s="18"/>
    </row>
    <row r="541" spans="14:14">
      <c r="N541" s="18"/>
    </row>
    <row r="542" spans="14:14">
      <c r="N542" s="18"/>
    </row>
    <row r="543" spans="14:14">
      <c r="N543" s="18"/>
    </row>
    <row r="544" spans="14:14">
      <c r="N544" s="18"/>
    </row>
    <row r="545" spans="14:14">
      <c r="N545" s="18"/>
    </row>
    <row r="546" spans="14:14">
      <c r="N546" s="18"/>
    </row>
    <row r="547" spans="14:14">
      <c r="N547" s="18"/>
    </row>
    <row r="548" spans="14:14">
      <c r="N548" s="18"/>
    </row>
    <row r="549" spans="14:14">
      <c r="N549" s="18"/>
    </row>
    <row r="550" spans="14:14">
      <c r="N550" s="18"/>
    </row>
    <row r="551" spans="14:14">
      <c r="N551" s="18"/>
    </row>
    <row r="552" spans="14:14">
      <c r="N552" s="18"/>
    </row>
    <row r="553" spans="14:14">
      <c r="N553" s="18"/>
    </row>
    <row r="554" spans="14:14">
      <c r="N554" s="18"/>
    </row>
    <row r="555" spans="14:14">
      <c r="N555" s="18"/>
    </row>
    <row r="556" spans="14:14">
      <c r="N556" s="18"/>
    </row>
    <row r="557" spans="14:14">
      <c r="N557" s="18"/>
    </row>
    <row r="558" spans="14:14">
      <c r="N558" s="18"/>
    </row>
    <row r="559" spans="14:14">
      <c r="N559" s="18"/>
    </row>
    <row r="560" spans="14:14">
      <c r="N560" s="18"/>
    </row>
    <row r="561" spans="14:14">
      <c r="N561" s="18"/>
    </row>
    <row r="562" spans="14:14">
      <c r="N562" s="18"/>
    </row>
    <row r="563" spans="14:14">
      <c r="N563" s="18"/>
    </row>
    <row r="564" spans="14:14">
      <c r="N564" s="18"/>
    </row>
    <row r="565" spans="14:14">
      <c r="N565" s="18"/>
    </row>
    <row r="566" spans="14:14">
      <c r="N566" s="18"/>
    </row>
    <row r="567" spans="14:14">
      <c r="N567" s="18"/>
    </row>
    <row r="568" spans="14:14">
      <c r="N568" s="18"/>
    </row>
    <row r="569" spans="14:14">
      <c r="N569" s="18"/>
    </row>
    <row r="570" spans="14:14">
      <c r="N570" s="18"/>
    </row>
    <row r="571" spans="14:14">
      <c r="N571" s="18"/>
    </row>
    <row r="572" spans="14:14">
      <c r="N572" s="18"/>
    </row>
    <row r="573" spans="14:14">
      <c r="N573" s="18"/>
    </row>
    <row r="574" spans="14:14">
      <c r="N574" s="18"/>
    </row>
    <row r="575" spans="14:14">
      <c r="N575" s="18"/>
    </row>
    <row r="576" spans="14:14">
      <c r="N576" s="18"/>
    </row>
    <row r="577" spans="14:14">
      <c r="N577" s="18"/>
    </row>
    <row r="578" spans="14:14">
      <c r="N578" s="18"/>
    </row>
    <row r="579" spans="14:14">
      <c r="N579" s="18"/>
    </row>
    <row r="580" spans="14:14">
      <c r="N580" s="18"/>
    </row>
    <row r="581" spans="14:14">
      <c r="N581" s="18"/>
    </row>
    <row r="582" spans="14:14">
      <c r="N582" s="18"/>
    </row>
    <row r="583" spans="14:14">
      <c r="N583" s="18"/>
    </row>
    <row r="584" spans="14:14">
      <c r="N584" s="18"/>
    </row>
    <row r="585" spans="14:14">
      <c r="N585" s="18"/>
    </row>
    <row r="586" spans="14:14">
      <c r="N586" s="18"/>
    </row>
    <row r="587" spans="14:14">
      <c r="N587" s="18"/>
    </row>
    <row r="588" spans="14:14">
      <c r="N588" s="18"/>
    </row>
    <row r="589" spans="14:14">
      <c r="N589" s="18"/>
    </row>
    <row r="590" spans="14:14">
      <c r="N590" s="18"/>
    </row>
    <row r="591" spans="14:14">
      <c r="N591" s="18"/>
    </row>
    <row r="592" spans="14:14">
      <c r="N592" s="18"/>
    </row>
    <row r="593" spans="14:14">
      <c r="N593" s="18"/>
    </row>
    <row r="594" spans="14:14">
      <c r="N594" s="18"/>
    </row>
    <row r="595" spans="14:14">
      <c r="N595" s="18"/>
    </row>
    <row r="596" spans="14:14">
      <c r="N596" s="18"/>
    </row>
    <row r="597" spans="14:14">
      <c r="N597" s="18"/>
    </row>
    <row r="598" spans="14:14">
      <c r="N598" s="18"/>
    </row>
    <row r="599" spans="14:14">
      <c r="N599" s="18"/>
    </row>
    <row r="600" spans="14:14">
      <c r="N600" s="18"/>
    </row>
    <row r="601" spans="14:14">
      <c r="N601" s="18"/>
    </row>
    <row r="602" spans="14:14">
      <c r="N602" s="18"/>
    </row>
    <row r="603" spans="14:14">
      <c r="N603" s="18"/>
    </row>
    <row r="604" spans="14:14">
      <c r="N604" s="18"/>
    </row>
    <row r="605" spans="14:14">
      <c r="N605" s="18"/>
    </row>
    <row r="606" spans="14:14">
      <c r="N606" s="18"/>
    </row>
    <row r="607" spans="14:14">
      <c r="N607" s="18"/>
    </row>
    <row r="608" spans="14:14">
      <c r="N608" s="18"/>
    </row>
    <row r="609" spans="14:14">
      <c r="N609" s="18"/>
    </row>
    <row r="610" spans="14:14">
      <c r="N610" s="18"/>
    </row>
    <row r="611" spans="14:14">
      <c r="N611" s="18"/>
    </row>
    <row r="612" spans="14:14">
      <c r="N612" s="18"/>
    </row>
    <row r="613" spans="14:14">
      <c r="N613" s="18"/>
    </row>
    <row r="614" spans="14:14">
      <c r="N614" s="18"/>
    </row>
    <row r="615" spans="14:14">
      <c r="N615" s="18"/>
    </row>
    <row r="616" spans="14:14">
      <c r="N616" s="18"/>
    </row>
    <row r="617" spans="14:14">
      <c r="N617" s="18"/>
    </row>
    <row r="618" spans="14:14">
      <c r="N618" s="18"/>
    </row>
    <row r="619" spans="14:14">
      <c r="N619" s="18"/>
    </row>
    <row r="620" spans="14:14">
      <c r="N620" s="18"/>
    </row>
    <row r="621" spans="14:14">
      <c r="N621" s="18"/>
    </row>
    <row r="622" spans="14:14">
      <c r="N622" s="18"/>
    </row>
    <row r="623" spans="14:14">
      <c r="N623" s="18"/>
    </row>
    <row r="624" spans="14:14">
      <c r="N624" s="18"/>
    </row>
    <row r="625" spans="14:14">
      <c r="N625" s="18"/>
    </row>
    <row r="626" spans="14:14">
      <c r="N626" s="18"/>
    </row>
    <row r="627" spans="14:14">
      <c r="N627" s="18"/>
    </row>
    <row r="628" spans="14:14">
      <c r="N628" s="18"/>
    </row>
    <row r="629" spans="14:14">
      <c r="N629" s="18"/>
    </row>
    <row r="630" spans="14:14">
      <c r="N630" s="18"/>
    </row>
    <row r="631" spans="14:14">
      <c r="N631" s="18"/>
    </row>
    <row r="632" spans="14:14">
      <c r="N632" s="18"/>
    </row>
    <row r="633" spans="14:14">
      <c r="N633" s="18"/>
    </row>
    <row r="634" spans="14:14">
      <c r="N634" s="18"/>
    </row>
    <row r="635" spans="14:14">
      <c r="N635" s="18"/>
    </row>
    <row r="636" spans="14:14">
      <c r="N636" s="18"/>
    </row>
    <row r="637" spans="14:14">
      <c r="N637" s="18"/>
    </row>
    <row r="638" spans="14:14">
      <c r="N638" s="18"/>
    </row>
    <row r="639" spans="14:14">
      <c r="N639" s="18"/>
    </row>
    <row r="640" spans="14:14">
      <c r="N640" s="18"/>
    </row>
    <row r="641" spans="14:14">
      <c r="N641" s="18"/>
    </row>
    <row r="642" spans="14:14">
      <c r="N642" s="18"/>
    </row>
    <row r="643" spans="14:14">
      <c r="N643" s="18"/>
    </row>
    <row r="644" spans="14:14">
      <c r="N644" s="18"/>
    </row>
    <row r="645" spans="14:14">
      <c r="N645" s="18"/>
    </row>
    <row r="646" spans="14:14">
      <c r="N646" s="18"/>
    </row>
    <row r="647" spans="14:14">
      <c r="N647" s="18"/>
    </row>
    <row r="648" spans="14:14">
      <c r="N648" s="18"/>
    </row>
    <row r="649" spans="14:14">
      <c r="N649" s="18"/>
    </row>
    <row r="650" spans="14:14">
      <c r="N650" s="18"/>
    </row>
    <row r="651" spans="14:14">
      <c r="N651" s="18"/>
    </row>
    <row r="652" spans="14:14">
      <c r="N652" s="18"/>
    </row>
    <row r="653" spans="14:14">
      <c r="N653" s="18"/>
    </row>
    <row r="654" spans="14:14">
      <c r="N654" s="18"/>
    </row>
    <row r="655" spans="14:14">
      <c r="N655" s="18"/>
    </row>
    <row r="656" spans="14:14">
      <c r="N656" s="18"/>
    </row>
    <row r="657" spans="14:14">
      <c r="N657" s="18"/>
    </row>
    <row r="658" spans="14:14">
      <c r="N658" s="18"/>
    </row>
    <row r="659" spans="14:14">
      <c r="N659" s="18"/>
    </row>
    <row r="660" spans="14:14">
      <c r="N660" s="18"/>
    </row>
    <row r="661" spans="14:14">
      <c r="N661" s="18"/>
    </row>
    <row r="662" spans="14:14">
      <c r="N662" s="18"/>
    </row>
    <row r="663" spans="14:14">
      <c r="N663" s="18"/>
    </row>
    <row r="664" spans="14:14">
      <c r="N664" s="18"/>
    </row>
    <row r="665" spans="14:14">
      <c r="N665" s="18"/>
    </row>
    <row r="666" spans="14:14">
      <c r="N666" s="18"/>
    </row>
    <row r="667" spans="14:14">
      <c r="N667" s="18"/>
    </row>
    <row r="668" spans="14:14">
      <c r="N668" s="18"/>
    </row>
    <row r="669" spans="14:14">
      <c r="N669" s="18"/>
    </row>
    <row r="670" spans="14:14">
      <c r="N670" s="18"/>
    </row>
    <row r="671" spans="14:14">
      <c r="N671" s="18"/>
    </row>
    <row r="672" spans="14:14">
      <c r="N672" s="18"/>
    </row>
    <row r="673" spans="14:14">
      <c r="N673" s="18"/>
    </row>
    <row r="674" spans="14:14">
      <c r="N674" s="18"/>
    </row>
    <row r="675" spans="14:14">
      <c r="N675" s="18"/>
    </row>
    <row r="676" spans="14:14">
      <c r="N676" s="18"/>
    </row>
    <row r="677" spans="14:14">
      <c r="N677" s="18"/>
    </row>
    <row r="678" spans="14:14">
      <c r="N678" s="18"/>
    </row>
    <row r="679" spans="14:14">
      <c r="N679" s="18"/>
    </row>
    <row r="680" spans="14:14">
      <c r="N680" s="18"/>
    </row>
    <row r="681" spans="14:14">
      <c r="N681" s="18"/>
    </row>
    <row r="682" spans="14:14">
      <c r="N682" s="18"/>
    </row>
    <row r="683" spans="14:14">
      <c r="N683" s="18"/>
    </row>
    <row r="684" spans="14:14">
      <c r="N684" s="18"/>
    </row>
    <row r="685" spans="14:14">
      <c r="N685" s="18"/>
    </row>
    <row r="686" spans="14:14">
      <c r="N686" s="18"/>
    </row>
    <row r="687" spans="14:14">
      <c r="N687" s="18"/>
    </row>
    <row r="688" spans="14:14">
      <c r="N688" s="18"/>
    </row>
    <row r="689" spans="14:14">
      <c r="N689" s="18"/>
    </row>
    <row r="690" spans="14:14">
      <c r="N690" s="18"/>
    </row>
    <row r="691" spans="14:14">
      <c r="N691" s="18"/>
    </row>
    <row r="692" spans="14:14">
      <c r="N692" s="18"/>
    </row>
    <row r="693" spans="14:14">
      <c r="N693" s="18"/>
    </row>
    <row r="694" spans="14:14">
      <c r="N694" s="18"/>
    </row>
    <row r="695" spans="14:14">
      <c r="N695" s="18"/>
    </row>
    <row r="696" spans="14:14">
      <c r="N696" s="18"/>
    </row>
    <row r="697" spans="14:14">
      <c r="N697" s="18"/>
    </row>
    <row r="698" spans="14:14">
      <c r="N698" s="18"/>
    </row>
    <row r="699" spans="14:14">
      <c r="N699" s="18"/>
    </row>
    <row r="700" spans="14:14">
      <c r="N700" s="18"/>
    </row>
    <row r="701" spans="14:14">
      <c r="N701" s="18"/>
    </row>
    <row r="702" spans="14:14">
      <c r="N702" s="18"/>
    </row>
    <row r="703" spans="14:14">
      <c r="N703" s="18"/>
    </row>
    <row r="704" spans="14:14">
      <c r="N704" s="18"/>
    </row>
    <row r="705" spans="14:14">
      <c r="N705" s="18"/>
    </row>
    <row r="706" spans="14:14">
      <c r="N706" s="18"/>
    </row>
    <row r="707" spans="14:14">
      <c r="N707" s="18"/>
    </row>
    <row r="708" spans="14:14">
      <c r="N708" s="18"/>
    </row>
    <row r="709" spans="14:14">
      <c r="N709" s="18"/>
    </row>
    <row r="710" spans="14:14">
      <c r="N710" s="18"/>
    </row>
    <row r="711" spans="14:14">
      <c r="N711" s="18"/>
    </row>
    <row r="712" spans="14:14">
      <c r="N712" s="18"/>
    </row>
    <row r="713" spans="14:14">
      <c r="N713" s="18"/>
    </row>
    <row r="714" spans="14:14">
      <c r="N714" s="18"/>
    </row>
    <row r="715" spans="14:14">
      <c r="N715" s="18"/>
    </row>
    <row r="716" spans="14:14">
      <c r="N716" s="18"/>
    </row>
    <row r="717" spans="14:14">
      <c r="N717" s="18"/>
    </row>
    <row r="718" spans="14:14">
      <c r="N718" s="18"/>
    </row>
    <row r="719" spans="14:14">
      <c r="N719" s="18"/>
    </row>
    <row r="720" spans="14:14">
      <c r="N720" s="18"/>
    </row>
    <row r="721" spans="14:14">
      <c r="N721" s="18"/>
    </row>
    <row r="722" spans="14:14">
      <c r="N722" s="18"/>
    </row>
    <row r="723" spans="14:14">
      <c r="N723" s="18"/>
    </row>
    <row r="724" spans="14:14">
      <c r="N724" s="18"/>
    </row>
    <row r="725" spans="14:14">
      <c r="N725" s="18"/>
    </row>
    <row r="726" spans="14:14">
      <c r="N726" s="18"/>
    </row>
    <row r="727" spans="14:14">
      <c r="N727" s="18"/>
    </row>
    <row r="728" spans="14:14">
      <c r="N728" s="18"/>
    </row>
    <row r="729" spans="14:14">
      <c r="N729" s="18"/>
    </row>
    <row r="730" spans="14:14">
      <c r="N730" s="18"/>
    </row>
    <row r="731" spans="14:14">
      <c r="N731" s="18"/>
    </row>
    <row r="732" spans="14:14">
      <c r="N732" s="18"/>
    </row>
    <row r="733" spans="14:14">
      <c r="N733" s="18"/>
    </row>
    <row r="734" spans="14:14">
      <c r="N734" s="18"/>
    </row>
    <row r="735" spans="14:14">
      <c r="N735" s="18"/>
    </row>
    <row r="736" spans="14:14">
      <c r="N736" s="18"/>
    </row>
    <row r="737" spans="14:14">
      <c r="N737" s="18"/>
    </row>
    <row r="738" spans="14:14">
      <c r="N738" s="18"/>
    </row>
    <row r="739" spans="14:14">
      <c r="N739" s="18"/>
    </row>
    <row r="740" spans="14:14">
      <c r="N740" s="18"/>
    </row>
    <row r="741" spans="14:14">
      <c r="N741" s="18"/>
    </row>
    <row r="742" spans="14:14">
      <c r="N742" s="18"/>
    </row>
    <row r="743" spans="14:14">
      <c r="N743" s="18"/>
    </row>
    <row r="744" spans="14:14">
      <c r="N744" s="18"/>
    </row>
    <row r="745" spans="14:14">
      <c r="N745" s="18"/>
    </row>
    <row r="746" spans="14:14">
      <c r="N746" s="18"/>
    </row>
    <row r="747" spans="14:14">
      <c r="N747" s="18"/>
    </row>
    <row r="748" spans="14:14">
      <c r="N748" s="18"/>
    </row>
    <row r="749" spans="14:14">
      <c r="N749" s="18"/>
    </row>
    <row r="750" spans="14:14">
      <c r="N750" s="18"/>
    </row>
    <row r="751" spans="14:14">
      <c r="N751" s="18"/>
    </row>
    <row r="752" spans="14:14">
      <c r="N752" s="18"/>
    </row>
    <row r="753" spans="14:14">
      <c r="N753" s="18"/>
    </row>
    <row r="754" spans="14:14">
      <c r="N754" s="18"/>
    </row>
    <row r="755" spans="14:14">
      <c r="N755" s="18"/>
    </row>
    <row r="756" spans="14:14">
      <c r="N756" s="18"/>
    </row>
    <row r="757" spans="14:14">
      <c r="N757" s="18"/>
    </row>
    <row r="758" spans="14:14">
      <c r="N758" s="18"/>
    </row>
    <row r="759" spans="14:14">
      <c r="N759" s="18"/>
    </row>
    <row r="760" spans="14:14">
      <c r="N760" s="18"/>
    </row>
    <row r="761" spans="14:14">
      <c r="N761" s="18"/>
    </row>
    <row r="762" spans="14:14">
      <c r="N762" s="18"/>
    </row>
    <row r="763" spans="14:14">
      <c r="N763" s="18"/>
    </row>
    <row r="764" spans="14:14">
      <c r="N764" s="18"/>
    </row>
    <row r="765" spans="14:14">
      <c r="N765" s="18"/>
    </row>
    <row r="766" spans="14:14">
      <c r="N766" s="18"/>
    </row>
    <row r="767" spans="14:14">
      <c r="N767" s="18"/>
    </row>
    <row r="768" spans="14:14">
      <c r="N768" s="18"/>
    </row>
    <row r="769" spans="14:14">
      <c r="N769" s="18"/>
    </row>
    <row r="770" spans="14:14">
      <c r="N770" s="18"/>
    </row>
    <row r="771" spans="14:14">
      <c r="N771" s="18"/>
    </row>
    <row r="772" spans="14:14">
      <c r="N772" s="18"/>
    </row>
    <row r="773" spans="14:14">
      <c r="N773" s="18"/>
    </row>
    <row r="774" spans="14:14">
      <c r="N774" s="18"/>
    </row>
    <row r="775" spans="14:14">
      <c r="N775" s="18"/>
    </row>
    <row r="776" spans="14:14">
      <c r="N776" s="18"/>
    </row>
    <row r="777" spans="14:14">
      <c r="N777" s="18"/>
    </row>
    <row r="778" spans="14:14">
      <c r="N778" s="18"/>
    </row>
    <row r="779" spans="14:14">
      <c r="N779" s="18"/>
    </row>
    <row r="780" spans="14:14">
      <c r="N780" s="18"/>
    </row>
    <row r="781" spans="14:14">
      <c r="N781" s="18"/>
    </row>
    <row r="782" spans="14:14">
      <c r="N782" s="18"/>
    </row>
    <row r="783" spans="14:14">
      <c r="N783" s="18"/>
    </row>
    <row r="784" spans="14:14">
      <c r="N784" s="18"/>
    </row>
    <row r="785" spans="14:14">
      <c r="N785" s="18"/>
    </row>
    <row r="786" spans="14:14">
      <c r="N786" s="18"/>
    </row>
    <row r="787" spans="14:14">
      <c r="N787" s="18"/>
    </row>
    <row r="788" spans="14:14">
      <c r="N788" s="18"/>
    </row>
    <row r="789" spans="14:14">
      <c r="N789" s="18"/>
    </row>
    <row r="790" spans="14:14">
      <c r="N790" s="18"/>
    </row>
    <row r="791" spans="14:14">
      <c r="N791" s="18"/>
    </row>
    <row r="792" spans="14:14">
      <c r="N792" s="18"/>
    </row>
    <row r="793" spans="14:14">
      <c r="N793" s="18"/>
    </row>
    <row r="794" spans="14:14">
      <c r="N794" s="18"/>
    </row>
    <row r="795" spans="14:14">
      <c r="N795" s="18"/>
    </row>
    <row r="796" spans="14:14">
      <c r="N796" s="18"/>
    </row>
    <row r="797" spans="14:14">
      <c r="N797" s="18"/>
    </row>
    <row r="798" spans="14:14">
      <c r="N798" s="18"/>
    </row>
    <row r="799" spans="14:14">
      <c r="N799" s="18"/>
    </row>
    <row r="800" spans="14:14">
      <c r="N800" s="18"/>
    </row>
    <row r="801" spans="14:14">
      <c r="N801" s="18"/>
    </row>
    <row r="802" spans="14:14">
      <c r="N802" s="18"/>
    </row>
    <row r="803" spans="14:14">
      <c r="N803" s="18"/>
    </row>
    <row r="804" spans="14:14">
      <c r="N804" s="18"/>
    </row>
    <row r="805" spans="14:14">
      <c r="N805" s="18"/>
    </row>
    <row r="806" spans="14:14">
      <c r="N806" s="18"/>
    </row>
    <row r="807" spans="14:14">
      <c r="N807" s="18"/>
    </row>
    <row r="808" spans="14:14">
      <c r="N808" s="18"/>
    </row>
    <row r="809" spans="14:14">
      <c r="N809" s="18"/>
    </row>
    <row r="810" spans="14:14">
      <c r="N810" s="18"/>
    </row>
    <row r="811" spans="14:14">
      <c r="N811" s="18"/>
    </row>
    <row r="812" spans="14:14">
      <c r="N812" s="18"/>
    </row>
    <row r="813" spans="14:14">
      <c r="N813" s="18"/>
    </row>
    <row r="814" spans="14:14">
      <c r="N814" s="18"/>
    </row>
    <row r="815" spans="14:14">
      <c r="N815" s="18"/>
    </row>
    <row r="816" spans="14:14">
      <c r="N816" s="18"/>
    </row>
    <row r="817" spans="14:14">
      <c r="N817" s="18"/>
    </row>
    <row r="818" spans="14:14">
      <c r="N818" s="18"/>
    </row>
    <row r="819" spans="14:14">
      <c r="N819" s="18"/>
    </row>
    <row r="820" spans="14:14">
      <c r="N820" s="18"/>
    </row>
    <row r="821" spans="14:14">
      <c r="N821" s="18"/>
    </row>
    <row r="822" spans="14:14">
      <c r="N822" s="18"/>
    </row>
    <row r="823" spans="14:14">
      <c r="N823" s="18"/>
    </row>
    <row r="824" spans="14:14">
      <c r="N824" s="18"/>
    </row>
    <row r="825" spans="14:14">
      <c r="N825" s="18"/>
    </row>
    <row r="826" spans="14:14">
      <c r="N826" s="18"/>
    </row>
    <row r="827" spans="14:14">
      <c r="N827" s="18"/>
    </row>
    <row r="828" spans="14:14">
      <c r="N828" s="18"/>
    </row>
    <row r="829" spans="14:14">
      <c r="N829" s="18"/>
    </row>
    <row r="830" spans="14:14">
      <c r="N830" s="18"/>
    </row>
    <row r="831" spans="14:14">
      <c r="N831" s="18"/>
    </row>
    <row r="832" spans="14:14">
      <c r="N832" s="18"/>
    </row>
    <row r="833" spans="14:14">
      <c r="N833" s="18"/>
    </row>
    <row r="834" spans="14:14">
      <c r="N834" s="18"/>
    </row>
    <row r="835" spans="14:14">
      <c r="N835" s="18"/>
    </row>
    <row r="836" spans="14:14">
      <c r="N836" s="18"/>
    </row>
    <row r="837" spans="14:14">
      <c r="N837" s="18"/>
    </row>
    <row r="838" spans="14:14">
      <c r="N838" s="18"/>
    </row>
    <row r="839" spans="14:14">
      <c r="N839" s="18"/>
    </row>
    <row r="840" spans="14:14">
      <c r="N840" s="18"/>
    </row>
    <row r="841" spans="14:14">
      <c r="N841" s="18"/>
    </row>
    <row r="842" spans="14:14">
      <c r="N842" s="18"/>
    </row>
    <row r="843" spans="14:14">
      <c r="N843" s="18"/>
    </row>
    <row r="844" spans="14:14">
      <c r="N844" s="18"/>
    </row>
    <row r="845" spans="14:14">
      <c r="N845" s="18"/>
    </row>
    <row r="846" spans="14:14">
      <c r="N846" s="18"/>
    </row>
    <row r="847" spans="14:14">
      <c r="N847" s="18"/>
    </row>
    <row r="848" spans="14:14">
      <c r="N848" s="18"/>
    </row>
    <row r="849" spans="14:14">
      <c r="N849" s="18"/>
    </row>
    <row r="850" spans="14:14">
      <c r="N850" s="18"/>
    </row>
    <row r="851" spans="14:14">
      <c r="N851" s="18"/>
    </row>
    <row r="852" spans="14:14">
      <c r="N852" s="18"/>
    </row>
    <row r="853" spans="14:14">
      <c r="N853" s="18"/>
    </row>
    <row r="854" spans="14:14">
      <c r="N854" s="18"/>
    </row>
    <row r="855" spans="14:14">
      <c r="N855" s="18"/>
    </row>
    <row r="856" spans="14:14">
      <c r="N856" s="18"/>
    </row>
    <row r="857" spans="14:14">
      <c r="N857" s="18"/>
    </row>
    <row r="858" spans="14:14">
      <c r="N858" s="18"/>
    </row>
    <row r="859" spans="14:14">
      <c r="N859" s="18"/>
    </row>
    <row r="860" spans="14:14">
      <c r="N860" s="18"/>
    </row>
    <row r="861" spans="14:14">
      <c r="N861" s="18"/>
    </row>
    <row r="862" spans="14:14">
      <c r="N862" s="18"/>
    </row>
    <row r="863" spans="14:14">
      <c r="N863" s="18"/>
    </row>
    <row r="864" spans="14:14">
      <c r="N864" s="18"/>
    </row>
    <row r="865" spans="14:14">
      <c r="N865" s="18"/>
    </row>
    <row r="866" spans="14:14">
      <c r="N866" s="18"/>
    </row>
    <row r="867" spans="14:14">
      <c r="N867" s="18"/>
    </row>
    <row r="868" spans="14:14">
      <c r="N868" s="18"/>
    </row>
    <row r="869" spans="14:14">
      <c r="N869" s="18"/>
    </row>
    <row r="870" spans="14:14">
      <c r="N870" s="18"/>
    </row>
    <row r="871" spans="14:14">
      <c r="N871" s="18"/>
    </row>
    <row r="872" spans="14:14">
      <c r="N872" s="18"/>
    </row>
    <row r="873" spans="14:14">
      <c r="N873" s="18"/>
    </row>
    <row r="874" spans="14:14">
      <c r="N874" s="18"/>
    </row>
    <row r="875" spans="14:14">
      <c r="N875" s="18"/>
    </row>
    <row r="876" spans="14:14">
      <c r="N876" s="18"/>
    </row>
    <row r="877" spans="14:14">
      <c r="N877" s="18"/>
    </row>
    <row r="878" spans="14:14">
      <c r="N878" s="18"/>
    </row>
    <row r="879" spans="14:14">
      <c r="N879" s="18"/>
    </row>
    <row r="880" spans="14:14">
      <c r="N880" s="18"/>
    </row>
    <row r="881" spans="14:14">
      <c r="N881" s="18"/>
    </row>
    <row r="882" spans="14:14">
      <c r="N882" s="18"/>
    </row>
    <row r="883" spans="14:14">
      <c r="N883" s="18"/>
    </row>
    <row r="884" spans="14:14">
      <c r="N884" s="18"/>
    </row>
    <row r="885" spans="14:14">
      <c r="N885" s="18"/>
    </row>
    <row r="886" spans="14:14">
      <c r="N886" s="18"/>
    </row>
    <row r="887" spans="14:14">
      <c r="N887" s="18"/>
    </row>
    <row r="888" spans="14:14">
      <c r="N888" s="18"/>
    </row>
    <row r="889" spans="14:14">
      <c r="N889" s="18"/>
    </row>
    <row r="890" spans="14:14">
      <c r="N890" s="18"/>
    </row>
    <row r="891" spans="14:14">
      <c r="N891" s="18"/>
    </row>
    <row r="892" spans="14:14">
      <c r="N892" s="18"/>
    </row>
    <row r="893" spans="14:14">
      <c r="N893" s="18"/>
    </row>
    <row r="894" spans="14:14">
      <c r="N894" s="18"/>
    </row>
    <row r="895" spans="14:14">
      <c r="N895" s="18"/>
    </row>
    <row r="896" spans="14:14">
      <c r="N896" s="18"/>
    </row>
    <row r="897" spans="14:14">
      <c r="N897" s="18"/>
    </row>
    <row r="898" spans="14:14">
      <c r="N898" s="18"/>
    </row>
    <row r="899" spans="14:14">
      <c r="N899" s="18"/>
    </row>
    <row r="900" spans="14:14">
      <c r="N900" s="18"/>
    </row>
    <row r="901" spans="14:14">
      <c r="N901" s="18"/>
    </row>
    <row r="902" spans="14:14">
      <c r="N902" s="18"/>
    </row>
    <row r="903" spans="14:14">
      <c r="N903" s="18"/>
    </row>
    <row r="904" spans="14:14">
      <c r="N904" s="18"/>
    </row>
    <row r="905" spans="14:14">
      <c r="N905" s="18"/>
    </row>
    <row r="906" spans="14:14">
      <c r="N906" s="18"/>
    </row>
    <row r="907" spans="14:14">
      <c r="N907" s="18"/>
    </row>
    <row r="908" spans="14:14">
      <c r="N908" s="18"/>
    </row>
    <row r="909" spans="14:14">
      <c r="N909" s="18"/>
    </row>
    <row r="910" spans="14:14">
      <c r="N910" s="18"/>
    </row>
    <row r="911" spans="14:14">
      <c r="N911" s="18"/>
    </row>
    <row r="912" spans="14:14">
      <c r="N912" s="18"/>
    </row>
    <row r="913" spans="14:14">
      <c r="N913" s="18"/>
    </row>
    <row r="914" spans="14:14">
      <c r="N914" s="18"/>
    </row>
    <row r="915" spans="14:14">
      <c r="N915" s="18"/>
    </row>
    <row r="916" spans="14:14">
      <c r="N916" s="18"/>
    </row>
    <row r="917" spans="14:14">
      <c r="N917" s="18"/>
    </row>
    <row r="918" spans="14:14">
      <c r="N918" s="18"/>
    </row>
    <row r="919" spans="14:14">
      <c r="N919" s="18"/>
    </row>
    <row r="920" spans="14:14">
      <c r="N920" s="18"/>
    </row>
    <row r="921" spans="14:14">
      <c r="N921" s="18"/>
    </row>
    <row r="922" spans="14:14">
      <c r="N922" s="18"/>
    </row>
    <row r="923" spans="14:14">
      <c r="N923" s="18"/>
    </row>
    <row r="924" spans="14:14">
      <c r="N924" s="18"/>
    </row>
    <row r="925" spans="14:14">
      <c r="N925" s="18"/>
    </row>
    <row r="926" spans="14:14">
      <c r="N926" s="18"/>
    </row>
    <row r="927" spans="14:14">
      <c r="N927" s="18"/>
    </row>
    <row r="928" spans="14:14">
      <c r="N928" s="18"/>
    </row>
    <row r="929" spans="14:14">
      <c r="N929" s="18"/>
    </row>
    <row r="930" spans="14:14">
      <c r="N930" s="18"/>
    </row>
    <row r="931" spans="14:14">
      <c r="N931" s="18"/>
    </row>
    <row r="932" spans="14:14">
      <c r="N932" s="18"/>
    </row>
    <row r="933" spans="14:14">
      <c r="N933" s="18"/>
    </row>
    <row r="934" spans="14:14">
      <c r="N934" s="18"/>
    </row>
    <row r="935" spans="14:14">
      <c r="N935" s="18"/>
    </row>
    <row r="936" spans="14:14">
      <c r="N936" s="18"/>
    </row>
    <row r="937" spans="14:14">
      <c r="N937" s="18"/>
    </row>
    <row r="938" spans="14:14">
      <c r="N938" s="18"/>
    </row>
    <row r="939" spans="14:14">
      <c r="N939" s="18"/>
    </row>
    <row r="940" spans="14:14">
      <c r="N940" s="18"/>
    </row>
    <row r="941" spans="14:14">
      <c r="N941" s="18"/>
    </row>
    <row r="942" spans="14:14">
      <c r="N942" s="18"/>
    </row>
    <row r="943" spans="14:14">
      <c r="N943" s="18"/>
    </row>
    <row r="944" spans="14:14">
      <c r="N944" s="18"/>
    </row>
    <row r="945" spans="14:14">
      <c r="N945" s="18"/>
    </row>
    <row r="946" spans="14:14">
      <c r="N946" s="18"/>
    </row>
    <row r="947" spans="14:14">
      <c r="N947" s="18"/>
    </row>
    <row r="948" spans="14:14">
      <c r="N948" s="18"/>
    </row>
    <row r="949" spans="14:14">
      <c r="N949" s="18"/>
    </row>
    <row r="950" spans="14:14">
      <c r="N950" s="18"/>
    </row>
    <row r="951" spans="14:14">
      <c r="N951" s="18"/>
    </row>
    <row r="952" spans="14:14">
      <c r="N952" s="18"/>
    </row>
    <row r="953" spans="14:14">
      <c r="N953" s="18"/>
    </row>
    <row r="954" spans="14:14">
      <c r="N954" s="18"/>
    </row>
    <row r="955" spans="14:14">
      <c r="N955" s="18"/>
    </row>
    <row r="956" spans="14:14">
      <c r="N956" s="18"/>
    </row>
    <row r="957" spans="14:14">
      <c r="N957" s="18"/>
    </row>
    <row r="958" spans="14:14">
      <c r="N958" s="18"/>
    </row>
    <row r="959" spans="14:14">
      <c r="N959" s="18"/>
    </row>
    <row r="960" spans="14:14">
      <c r="N960" s="18"/>
    </row>
    <row r="961" spans="14:14">
      <c r="N961" s="18"/>
    </row>
    <row r="962" spans="14:14">
      <c r="N962" s="18"/>
    </row>
    <row r="963" spans="14:14">
      <c r="N963" s="18"/>
    </row>
    <row r="964" spans="14:14">
      <c r="N964" s="18"/>
    </row>
    <row r="965" spans="14:14">
      <c r="N965" s="18"/>
    </row>
    <row r="966" spans="14:14">
      <c r="N966" s="18"/>
    </row>
    <row r="967" spans="14:14">
      <c r="N967" s="18"/>
    </row>
    <row r="968" spans="14:14">
      <c r="N968" s="18"/>
    </row>
    <row r="969" spans="14:14">
      <c r="N969" s="18"/>
    </row>
    <row r="970" spans="14:14">
      <c r="N970" s="18"/>
    </row>
    <row r="971" spans="14:14">
      <c r="N971" s="18"/>
    </row>
    <row r="972" spans="14:14">
      <c r="N972" s="18"/>
    </row>
    <row r="973" spans="14:14">
      <c r="N973" s="18"/>
    </row>
    <row r="974" spans="14:14">
      <c r="N974" s="18"/>
    </row>
    <row r="975" spans="14:14">
      <c r="N975" s="18"/>
    </row>
    <row r="976" spans="14:14">
      <c r="N976" s="18"/>
    </row>
    <row r="977" spans="14:14">
      <c r="N977" s="18"/>
    </row>
    <row r="978" spans="14:14">
      <c r="N978" s="18"/>
    </row>
    <row r="979" spans="14:14">
      <c r="N979" s="18"/>
    </row>
    <row r="980" spans="14:14">
      <c r="N980" s="18"/>
    </row>
    <row r="981" spans="14:14">
      <c r="N981" s="18"/>
    </row>
    <row r="982" spans="14:14">
      <c r="N982" s="18"/>
    </row>
    <row r="983" spans="14:14">
      <c r="N983" s="18"/>
    </row>
    <row r="984" spans="14:14">
      <c r="N984" s="18"/>
    </row>
    <row r="985" spans="14:14">
      <c r="N985" s="18"/>
    </row>
    <row r="986" spans="14:14">
      <c r="N986" s="18"/>
    </row>
    <row r="987" spans="14:14">
      <c r="N987" s="18"/>
    </row>
    <row r="988" spans="14:14">
      <c r="N988" s="18"/>
    </row>
    <row r="989" spans="14:14">
      <c r="N989" s="18"/>
    </row>
    <row r="990" spans="14:14">
      <c r="N990" s="18"/>
    </row>
    <row r="991" spans="14:14">
      <c r="N991" s="18"/>
    </row>
    <row r="992" spans="14:14">
      <c r="N992" s="18"/>
    </row>
    <row r="993" spans="14:14">
      <c r="N993" s="18"/>
    </row>
    <row r="994" spans="14:14">
      <c r="N994" s="18"/>
    </row>
    <row r="995" spans="14:14">
      <c r="N995" s="18"/>
    </row>
    <row r="996" spans="14:14">
      <c r="N996" s="18"/>
    </row>
    <row r="997" spans="14:14">
      <c r="N997" s="18"/>
    </row>
    <row r="998" spans="14:14">
      <c r="N998" s="18"/>
    </row>
    <row r="999" spans="14:14">
      <c r="N999" s="18"/>
    </row>
    <row r="1000" spans="14:14">
      <c r="N1000" s="18"/>
    </row>
    <row r="1001" spans="14:14">
      <c r="N1001" s="18"/>
    </row>
    <row r="1002" spans="14:14">
      <c r="N1002" s="18"/>
    </row>
    <row r="1003" spans="14:14">
      <c r="N1003" s="18"/>
    </row>
    <row r="1004" spans="14:14">
      <c r="N1004" s="18"/>
    </row>
    <row r="1005" spans="14:14">
      <c r="N1005" s="18"/>
    </row>
    <row r="1006" spans="14:14">
      <c r="N1006" s="18"/>
    </row>
    <row r="1007" spans="14:14">
      <c r="N1007" s="18"/>
    </row>
    <row r="1008" spans="14:14">
      <c r="N1008" s="18"/>
    </row>
    <row r="1009" spans="14:14">
      <c r="N1009" s="18"/>
    </row>
    <row r="1010" spans="14:14">
      <c r="N1010" s="18"/>
    </row>
    <row r="1011" spans="14:14">
      <c r="N1011" s="18"/>
    </row>
    <row r="1012" spans="14:14">
      <c r="N1012" s="18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0CDBA-5A3D-49FD-86E3-BCDDC8393046}">
  <dimension ref="B2"/>
  <sheetViews>
    <sheetView workbookViewId="0">
      <selection activeCell="J10" sqref="J10"/>
    </sheetView>
  </sheetViews>
  <sheetFormatPr defaultRowHeight="16.5"/>
  <sheetData>
    <row r="2" spans="2:2">
      <c r="B2" s="15" t="s">
        <v>733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2C433-7C0C-4E70-B90F-7ADE42C83329}">
  <dimension ref="B2:B127"/>
  <sheetViews>
    <sheetView tabSelected="1" topLeftCell="A100" workbookViewId="0">
      <selection activeCell="R115" sqref="R115"/>
    </sheetView>
  </sheetViews>
  <sheetFormatPr defaultRowHeight="16.5"/>
  <cols>
    <col min="1" max="1" width="6" customWidth="1"/>
  </cols>
  <sheetData>
    <row r="2" spans="2:2">
      <c r="B2" t="s">
        <v>1253</v>
      </c>
    </row>
    <row r="4" spans="2:2">
      <c r="B4" t="s">
        <v>1254</v>
      </c>
    </row>
    <row r="5" spans="2:2">
      <c r="B5" t="s">
        <v>1255</v>
      </c>
    </row>
    <row r="6" spans="2:2">
      <c r="B6" t="s">
        <v>1256</v>
      </c>
    </row>
    <row r="7" spans="2:2">
      <c r="B7" t="s">
        <v>1257</v>
      </c>
    </row>
    <row r="8" spans="2:2">
      <c r="B8" t="s">
        <v>1256</v>
      </c>
    </row>
    <row r="9" spans="2:2">
      <c r="B9" t="s">
        <v>1258</v>
      </c>
    </row>
    <row r="10" spans="2:2">
      <c r="B10" t="s">
        <v>1256</v>
      </c>
    </row>
    <row r="11" spans="2:2">
      <c r="B11" t="s">
        <v>1259</v>
      </c>
    </row>
    <row r="12" spans="2:2">
      <c r="B12" t="s">
        <v>1260</v>
      </c>
    </row>
    <row r="13" spans="2:2">
      <c r="B13" t="s">
        <v>1261</v>
      </c>
    </row>
    <row r="15" spans="2:2">
      <c r="B15" t="s">
        <v>1262</v>
      </c>
    </row>
    <row r="16" spans="2:2">
      <c r="B16" t="s">
        <v>1263</v>
      </c>
    </row>
    <row r="17" spans="2:2">
      <c r="B17" t="s">
        <v>1264</v>
      </c>
    </row>
    <row r="18" spans="2:2">
      <c r="B18" t="s">
        <v>1265</v>
      </c>
    </row>
    <row r="19" spans="2:2">
      <c r="B19" t="s">
        <v>1266</v>
      </c>
    </row>
    <row r="21" spans="2:2">
      <c r="B21" t="s">
        <v>1267</v>
      </c>
    </row>
    <row r="22" spans="2:2">
      <c r="B22" t="s">
        <v>1268</v>
      </c>
    </row>
    <row r="24" spans="2:2">
      <c r="B24" t="s">
        <v>1269</v>
      </c>
    </row>
    <row r="26" spans="2:2">
      <c r="B26" t="s">
        <v>1270</v>
      </c>
    </row>
    <row r="27" spans="2:2">
      <c r="B27" t="s">
        <v>1271</v>
      </c>
    </row>
    <row r="28" spans="2:2">
      <c r="B28" t="s">
        <v>1272</v>
      </c>
    </row>
    <row r="29" spans="2:2">
      <c r="B29" t="s">
        <v>1273</v>
      </c>
    </row>
    <row r="30" spans="2:2">
      <c r="B30" t="s">
        <v>1274</v>
      </c>
    </row>
    <row r="32" spans="2:2">
      <c r="B32" t="s">
        <v>1267</v>
      </c>
    </row>
    <row r="33" spans="2:2">
      <c r="B33" t="s">
        <v>1275</v>
      </c>
    </row>
    <row r="35" spans="2:2">
      <c r="B35" t="s">
        <v>1276</v>
      </c>
    </row>
    <row r="37" spans="2:2">
      <c r="B37" t="s">
        <v>1277</v>
      </c>
    </row>
    <row r="38" spans="2:2">
      <c r="B38" t="s">
        <v>1278</v>
      </c>
    </row>
    <row r="39" spans="2:2">
      <c r="B39" t="s">
        <v>1279</v>
      </c>
    </row>
    <row r="40" spans="2:2">
      <c r="B40" t="s">
        <v>1280</v>
      </c>
    </row>
    <row r="42" spans="2:2">
      <c r="B42" t="s">
        <v>1267</v>
      </c>
    </row>
    <row r="43" spans="2:2">
      <c r="B43" t="s">
        <v>1281</v>
      </c>
    </row>
    <row r="45" spans="2:2">
      <c r="B45" t="s">
        <v>1282</v>
      </c>
    </row>
    <row r="46" spans="2:2">
      <c r="B46" t="s">
        <v>1283</v>
      </c>
    </row>
    <row r="48" spans="2:2">
      <c r="B48" t="s">
        <v>1267</v>
      </c>
    </row>
    <row r="49" spans="2:2">
      <c r="B49" t="s">
        <v>1284</v>
      </c>
    </row>
    <row r="51" spans="2:2">
      <c r="B51" t="s">
        <v>1285</v>
      </c>
    </row>
    <row r="52" spans="2:2">
      <c r="B52" t="s">
        <v>1286</v>
      </c>
    </row>
    <row r="53" spans="2:2">
      <c r="B53" t="s">
        <v>1287</v>
      </c>
    </row>
    <row r="54" spans="2:2">
      <c r="B54" t="s">
        <v>1288</v>
      </c>
    </row>
    <row r="56" spans="2:2">
      <c r="B56" t="s">
        <v>1267</v>
      </c>
    </row>
    <row r="57" spans="2:2">
      <c r="B57" t="s">
        <v>1289</v>
      </c>
    </row>
    <row r="59" spans="2:2">
      <c r="B59" t="s">
        <v>1290</v>
      </c>
    </row>
    <row r="60" spans="2:2">
      <c r="B60" t="s">
        <v>1291</v>
      </c>
    </row>
    <row r="62" spans="2:2">
      <c r="B62" t="s">
        <v>1292</v>
      </c>
    </row>
    <row r="63" spans="2:2">
      <c r="B63" t="s">
        <v>1293</v>
      </c>
    </row>
    <row r="64" spans="2:2">
      <c r="B64" t="s">
        <v>1294</v>
      </c>
    </row>
    <row r="65" spans="2:2">
      <c r="B65" t="s">
        <v>1295</v>
      </c>
    </row>
    <row r="67" spans="2:2">
      <c r="B67" t="s">
        <v>1296</v>
      </c>
    </row>
    <row r="68" spans="2:2">
      <c r="B68" t="s">
        <v>1297</v>
      </c>
    </row>
    <row r="69" spans="2:2">
      <c r="B69" t="s">
        <v>1298</v>
      </c>
    </row>
    <row r="70" spans="2:2">
      <c r="B70" t="s">
        <v>1299</v>
      </c>
    </row>
    <row r="71" spans="2:2">
      <c r="B71" t="s">
        <v>1300</v>
      </c>
    </row>
    <row r="73" spans="2:2">
      <c r="B73" t="s">
        <v>1301</v>
      </c>
    </row>
    <row r="75" spans="2:2">
      <c r="B75" t="s">
        <v>1302</v>
      </c>
    </row>
    <row r="76" spans="2:2">
      <c r="B76" t="s">
        <v>1303</v>
      </c>
    </row>
    <row r="77" spans="2:2">
      <c r="B77" t="s">
        <v>1304</v>
      </c>
    </row>
    <row r="78" spans="2:2">
      <c r="B78" t="s">
        <v>1305</v>
      </c>
    </row>
    <row r="79" spans="2:2">
      <c r="B79" t="s">
        <v>1306</v>
      </c>
    </row>
    <row r="80" spans="2:2">
      <c r="B80" t="s">
        <v>1307</v>
      </c>
    </row>
    <row r="82" spans="2:2">
      <c r="B82" t="s">
        <v>1308</v>
      </c>
    </row>
    <row r="83" spans="2:2">
      <c r="B83" t="s">
        <v>1309</v>
      </c>
    </row>
    <row r="85" spans="2:2">
      <c r="B85" t="s">
        <v>1267</v>
      </c>
    </row>
    <row r="86" spans="2:2">
      <c r="B86" t="s">
        <v>1310</v>
      </c>
    </row>
    <row r="88" spans="2:2">
      <c r="B88" t="s">
        <v>1311</v>
      </c>
    </row>
    <row r="90" spans="2:2">
      <c r="B90" t="s">
        <v>1312</v>
      </c>
    </row>
    <row r="92" spans="2:2">
      <c r="B92" t="s">
        <v>1313</v>
      </c>
    </row>
    <row r="93" spans="2:2">
      <c r="B93" t="s">
        <v>1296</v>
      </c>
    </row>
    <row r="94" spans="2:2">
      <c r="B94" t="s">
        <v>1314</v>
      </c>
    </row>
    <row r="95" spans="2:2">
      <c r="B95" t="s">
        <v>1299</v>
      </c>
    </row>
    <row r="96" spans="2:2">
      <c r="B96" t="s">
        <v>1300</v>
      </c>
    </row>
    <row r="98" spans="2:2">
      <c r="B98" t="s">
        <v>1301</v>
      </c>
    </row>
    <row r="100" spans="2:2">
      <c r="B100" t="s">
        <v>1302</v>
      </c>
    </row>
    <row r="101" spans="2:2">
      <c r="B101" t="s">
        <v>1303</v>
      </c>
    </row>
    <row r="102" spans="2:2">
      <c r="B102" t="s">
        <v>1304</v>
      </c>
    </row>
    <row r="103" spans="2:2">
      <c r="B103" t="s">
        <v>1305</v>
      </c>
    </row>
    <row r="104" spans="2:2">
      <c r="B104" t="s">
        <v>1315</v>
      </c>
    </row>
    <row r="106" spans="2:2">
      <c r="B106" t="s">
        <v>1316</v>
      </c>
    </row>
    <row r="108" spans="2:2">
      <c r="B108" t="s">
        <v>1267</v>
      </c>
    </row>
    <row r="109" spans="2:2">
      <c r="B109" t="s">
        <v>1310</v>
      </c>
    </row>
    <row r="111" spans="2:2">
      <c r="B111" t="s">
        <v>1311</v>
      </c>
    </row>
    <row r="113" spans="2:2">
      <c r="B113" t="s">
        <v>1312</v>
      </c>
    </row>
    <row r="115" spans="2:2">
      <c r="B115" t="s">
        <v>1313</v>
      </c>
    </row>
    <row r="116" spans="2:2">
      <c r="B116" t="s">
        <v>1317</v>
      </c>
    </row>
    <row r="117" spans="2:2">
      <c r="B117" t="s">
        <v>1318</v>
      </c>
    </row>
    <row r="118" spans="2:2">
      <c r="B118" t="s">
        <v>1319</v>
      </c>
    </row>
    <row r="120" spans="2:2">
      <c r="B120" t="s">
        <v>1320</v>
      </c>
    </row>
    <row r="121" spans="2:2">
      <c r="B121" t="s">
        <v>1321</v>
      </c>
    </row>
    <row r="123" spans="2:2">
      <c r="B123" t="s">
        <v>1322</v>
      </c>
    </row>
    <row r="124" spans="2:2">
      <c r="B124" t="s">
        <v>1323</v>
      </c>
    </row>
    <row r="125" spans="2:2">
      <c r="B125" t="s">
        <v>1324</v>
      </c>
    </row>
    <row r="127" spans="2:2">
      <c r="B127" t="s">
        <v>1325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4ada16c-3962-415f-a56a-05ed3b6478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AF29EEE82872449F0AF85EE54BB925" ma:contentTypeVersion="10" ma:contentTypeDescription="Create a new document." ma:contentTypeScope="" ma:versionID="69b4e78ffe8a5b9705e379c4d80d497e">
  <xsd:schema xmlns:xsd="http://www.w3.org/2001/XMLSchema" xmlns:xs="http://www.w3.org/2001/XMLSchema" xmlns:p="http://schemas.microsoft.com/office/2006/metadata/properties" xmlns:ns3="64ada16c-3962-415f-a56a-05ed3b6478e7" targetNamespace="http://schemas.microsoft.com/office/2006/metadata/properties" ma:root="true" ma:fieldsID="4eb7857e83774eeaa7620bf82a6577d0" ns3:_="">
    <xsd:import namespace="64ada16c-3962-415f-a56a-05ed3b6478e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ada16c-3962-415f-a56a-05ed3b6478e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AE19F9-2D40-40B1-9C9E-D64A4144EE7F}">
  <ds:schemaRefs>
    <ds:schemaRef ds:uri="http://schemas.microsoft.com/office/2006/metadata/properties"/>
    <ds:schemaRef ds:uri="http://schemas.microsoft.com/office/2006/documentManagement/types"/>
    <ds:schemaRef ds:uri="64ada16c-3962-415f-a56a-05ed3b6478e7"/>
    <ds:schemaRef ds:uri="http://schemas.openxmlformats.org/package/2006/metadata/core-properties"/>
    <ds:schemaRef ds:uri="http://purl.org/dc/dcmitype/"/>
    <ds:schemaRef ds:uri="http://www.w3.org/XML/1998/namespace"/>
    <ds:schemaRef ds:uri="http://purl.org/dc/elements/1.1/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A93950A-8104-419F-978A-852B19D93E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F366F4-E913-4C39-8BAE-DC35D5C4E9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ada16c-3962-415f-a56a-05ed3b6478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持股分析(20260521)</vt:lpstr>
      <vt:lpstr>持股庫存(20251231)</vt:lpstr>
      <vt:lpstr>交易分析</vt:lpstr>
      <vt:lpstr>S&amp;P500(20260521)</vt:lpstr>
      <vt:lpstr>BQL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高靜雯</dc:creator>
  <cp:lastModifiedBy>小政 Hsieh</cp:lastModifiedBy>
  <dcterms:created xsi:type="dcterms:W3CDTF">2026-06-03T03:23:16Z</dcterms:created>
  <dcterms:modified xsi:type="dcterms:W3CDTF">2026-06-03T14:36:53Z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0x0101003DAF29EEE82872449F0AF85EE54BB925</vt:lpwstr>
  </property>
</Properties>
</file>